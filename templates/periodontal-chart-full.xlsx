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xl/featurePropertyBag/featurePropertyBag.xml" ContentType="application/vnd.ms-excel.featurepropertyba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Tx" sheetId="1" state="visible" r:id="rId1"/>
    <sheet xmlns:r="http://schemas.openxmlformats.org/officeDocument/2006/relationships" name="Eva" sheetId="2" state="visible" r:id="rId2"/>
    <sheet xmlns:r="http://schemas.openxmlformats.org/officeDocument/2006/relationships" name="Compare" sheetId="3" state="visible" r:id="rId3"/>
  </sheets>
  <definedNames>
    <definedName name="_xlnm.Print_Area" localSheetId="0">'Pre-Tx'!$A$1:$AY$50</definedName>
    <definedName name="_xlnm.Print_Area" localSheetId="1">'Eva'!$A$1:$AY$50</definedName>
    <definedName name="_xlnm.Print_Area" localSheetId="2">'Compare'!$A$1:$AY$50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17">
    <font>
      <name val="Calibri"/>
      <family val="2"/>
      <color theme="1"/>
      <sz val="11"/>
      <scheme val="minor"/>
    </font>
    <font>
      <name val="Arial"/>
      <color rgb="001D1D1F"/>
      <sz val="10"/>
    </font>
    <font>
      <name val="Arial"/>
      <b val="1"/>
      <color rgb="001D1D1F"/>
      <sz val="16"/>
    </font>
    <font>
      <name val="Arial"/>
      <b val="1"/>
      <color rgb="006E6E73"/>
      <sz val="10"/>
    </font>
    <font>
      <name val="Arial"/>
      <b val="1"/>
      <color rgb="000A66D6"/>
      <sz val="13"/>
    </font>
    <font>
      <name val="Arial"/>
      <b val="1"/>
      <color rgb="006E6E73"/>
      <sz val="9"/>
    </font>
    <font>
      <name val="Arial"/>
      <color rgb="001D1D1F"/>
      <sz val="11"/>
    </font>
    <font>
      <name val="Arial"/>
      <color rgb="001D1D1F"/>
      <sz val="9"/>
    </font>
    <font>
      <name val="Arial"/>
      <color rgb="000A66D6"/>
      <sz val="9"/>
    </font>
    <font>
      <name val="Arial"/>
      <b val="1"/>
      <color rgb="006E6E73"/>
      <sz val="8"/>
    </font>
    <font>
      <name val="Arial"/>
      <b val="1"/>
      <color rgb="001D1D1F"/>
      <sz val="8"/>
    </font>
    <font>
      <name val="Arial"/>
      <b val="1"/>
      <color rgb="001D1D1F"/>
      <sz val="10"/>
    </font>
    <font>
      <name val="Arial"/>
      <b val="1"/>
      <color rgb="00C62828"/>
      <sz val="11"/>
    </font>
    <font>
      <name val="Arial"/>
      <color rgb="006E6E73"/>
      <sz val="10"/>
    </font>
    <font>
      <name val="Arial"/>
      <color rgb="00BFBFBF"/>
      <sz val="7"/>
    </font>
    <font>
      <name val="Arial"/>
      <b val="1"/>
      <color rgb="001D1D1F"/>
      <sz val="9"/>
    </font>
    <font>
      <name val="Arial"/>
      <color rgb="006E6E73"/>
      <sz val="9"/>
    </font>
  </fonts>
  <fills count="4">
    <fill>
      <patternFill/>
    </fill>
    <fill>
      <patternFill patternType="gray125"/>
    </fill>
    <fill>
      <patternFill patternType="solid">
        <fgColor rgb="00F2F2F4"/>
      </patternFill>
    </fill>
    <fill>
      <patternFill patternType="solid">
        <fgColor rgb="00F7F7F8"/>
      </patternFill>
    </fill>
  </fills>
  <borders count="39">
    <border>
      <left/>
      <right/>
      <top/>
      <bottom/>
      <diagonal/>
    </border>
    <border>
      <bottom style="thin">
        <color rgb="00555555"/>
      </bottom>
    </border>
    <border>
      <bottom style="thin">
        <color rgb="00B9B9B9"/>
      </bottom>
    </border>
    <border>
      <left style="thin">
        <color rgb="00555555"/>
      </left>
      <top style="thin">
        <color rgb="00555555"/>
      </top>
      <bottom style="thin">
        <color rgb="00555555"/>
      </bottom>
    </border>
    <border>
      <top style="thin">
        <color rgb="00555555"/>
      </top>
      <bottom style="thin">
        <color rgb="00555555"/>
      </bottom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left style="medium">
        <color rgb="00111111"/>
      </left>
      <top style="medium">
        <color rgb="00111111"/>
      </top>
      <bottom style="thin">
        <color rgb="00555555"/>
      </bottom>
    </border>
    <border>
      <top style="medium">
        <color rgb="00111111"/>
      </top>
      <bottom style="thin">
        <color rgb="00555555"/>
      </bottom>
    </border>
    <border>
      <left style="thin">
        <color rgb="00555555"/>
      </left>
      <top style="medium">
        <color rgb="00111111"/>
      </top>
      <bottom style="thin">
        <color rgb="00555555"/>
      </bottom>
    </border>
    <border>
      <right style="medium">
        <color rgb="00111111"/>
      </right>
      <top style="medium">
        <color rgb="00111111"/>
      </top>
      <bottom style="thin">
        <color rgb="00555555"/>
      </bottom>
    </border>
    <border>
      <left style="medium">
        <color rgb="00111111"/>
      </left>
      <top style="thin">
        <color rgb="00555555"/>
      </top>
      <bottom style="medium">
        <color rgb="00111111"/>
      </bottom>
    </border>
    <border>
      <top style="thin">
        <color rgb="00555555"/>
      </top>
      <bottom style="medium">
        <color rgb="00111111"/>
      </bottom>
    </border>
    <border>
      <left style="thin">
        <color rgb="00555555"/>
      </left>
      <top style="thin">
        <color rgb="00555555"/>
      </top>
      <bottom style="medium">
        <color rgb="00111111"/>
      </bottom>
    </border>
    <border>
      <right style="medium">
        <color rgb="00111111"/>
      </right>
      <top style="thin">
        <color rgb="00555555"/>
      </top>
      <bottom style="medium">
        <color rgb="00111111"/>
      </bottom>
    </border>
    <border>
      <left style="thin">
        <color rgb="00555555"/>
      </left>
      <top style="thin">
        <color rgb="00B9B9B9"/>
      </top>
      <bottom style="thin">
        <color rgb="00B9B9B9"/>
      </bottom>
    </border>
    <border>
      <left style="thin">
        <color rgb="00B9B9B9"/>
      </left>
      <top style="thin">
        <color rgb="00B9B9B9"/>
      </top>
      <bottom style="thin">
        <color rgb="00B9B9B9"/>
      </bottom>
    </border>
    <border>
      <left style="medium">
        <color rgb="00111111"/>
      </left>
      <top style="thin">
        <color rgb="00B9B9B9"/>
      </top>
      <bottom style="thin">
        <color rgb="00B9B9B9"/>
      </bottom>
    </border>
    <border>
      <left style="thin">
        <color rgb="00555555"/>
      </left>
      <right style="thin">
        <color rgb="00555555"/>
      </right>
      <top style="thin">
        <color rgb="00B9B9B9"/>
      </top>
      <bottom style="thin">
        <color rgb="00B9B9B9"/>
      </bottom>
    </border>
    <border>
      <left style="medium">
        <color rgb="00111111"/>
      </left>
      <top style="medium">
        <color rgb="00111111"/>
      </top>
      <bottom style="thin">
        <color rgb="00B9B9B9"/>
      </bottom>
    </border>
    <border>
      <left style="thin">
        <color rgb="00555555"/>
      </left>
      <top style="medium">
        <color rgb="00111111"/>
      </top>
      <bottom style="thin">
        <color rgb="00B9B9B9"/>
      </bottom>
    </border>
    <border>
      <left style="thin">
        <color rgb="00B9B9B9"/>
      </left>
      <top style="medium">
        <color rgb="00111111"/>
      </top>
      <bottom style="thin">
        <color rgb="00B9B9B9"/>
      </bottom>
    </border>
    <border>
      <left style="thin">
        <color rgb="00555555"/>
      </left>
      <right style="medium">
        <color rgb="00111111"/>
      </right>
      <top style="medium">
        <color rgb="00111111"/>
      </top>
      <bottom style="thin">
        <color rgb="00B9B9B9"/>
      </bottom>
    </border>
    <border>
      <left style="thin">
        <color rgb="00555555"/>
      </left>
      <right style="medium">
        <color rgb="00111111"/>
      </right>
      <top style="thin">
        <color rgb="00B9B9B9"/>
      </top>
      <bottom style="thin">
        <color rgb="00B9B9B9"/>
      </bottom>
    </border>
    <border>
      <left style="medium">
        <color rgb="00111111"/>
      </left>
      <top style="thin">
        <color rgb="00B9B9B9"/>
      </top>
      <bottom style="medium">
        <color rgb="00111111"/>
      </bottom>
    </border>
    <border>
      <left style="thin">
        <color rgb="00555555"/>
      </left>
      <top style="thin">
        <color rgb="00B9B9B9"/>
      </top>
      <bottom style="medium">
        <color rgb="00111111"/>
      </bottom>
    </border>
    <border>
      <left style="thin">
        <color rgb="00B9B9B9"/>
      </left>
      <top style="thin">
        <color rgb="00B9B9B9"/>
      </top>
      <bottom style="medium">
        <color rgb="00111111"/>
      </bottom>
    </border>
    <border>
      <left style="thin">
        <color rgb="00555555"/>
      </left>
      <right style="medium">
        <color rgb="00111111"/>
      </right>
      <top style="thin">
        <color rgb="00B9B9B9"/>
      </top>
      <bottom style="medium">
        <color rgb="00111111"/>
      </bottom>
    </border>
    <border>
      <left style="medium">
        <color rgb="00111111"/>
      </left>
      <right/>
      <top style="medium">
        <color rgb="00111111"/>
      </top>
      <bottom/>
    </border>
    <border>
      <left/>
      <right/>
      <top style="medium">
        <color rgb="00111111"/>
      </top>
      <bottom/>
    </border>
    <border>
      <left/>
      <right style="medium">
        <color rgb="00111111"/>
      </right>
      <top style="medium">
        <color rgb="00111111"/>
      </top>
      <bottom/>
    </border>
    <border>
      <left style="medium">
        <color rgb="00111111"/>
      </left>
      <right/>
      <top/>
      <bottom/>
    </border>
    <border>
      <left/>
      <right/>
      <top/>
      <bottom/>
    </border>
    <border>
      <left/>
      <right style="medium">
        <color rgb="00111111"/>
      </right>
      <top/>
      <bottom/>
    </border>
    <border>
      <left style="medium">
        <color rgb="00111111"/>
      </left>
      <right/>
      <top/>
      <bottom style="medium">
        <color rgb="00111111"/>
      </bottom>
    </border>
    <border>
      <left/>
      <right/>
      <top/>
      <bottom style="medium">
        <color rgb="00111111"/>
      </bottom>
    </border>
    <border>
      <left/>
      <right style="medium">
        <color rgb="00111111"/>
      </right>
      <top/>
      <bottom style="medium">
        <color rgb="00111111"/>
      </bottom>
    </border>
    <border>
      <left style="thin">
        <color rgb="00B9B9B9"/>
      </left>
      <top style="medium">
        <color rgb="00111111"/>
      </top>
      <bottom/>
    </border>
    <border>
      <left style="thin">
        <color rgb="00B9B9B9"/>
      </left>
      <top/>
      <bottom/>
    </border>
    <border>
      <left style="thin">
        <color rgb="00B9B9B9"/>
      </left>
      <top/>
      <bottom style="medium">
        <color rgb="00111111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5" fillId="0" borderId="0" applyAlignment="1" pivotButton="0" quotePrefix="0" xfId="0">
      <alignment horizontal="right" vertical="bottom" indent="1"/>
    </xf>
    <xf numFmtId="0" fontId="6" fillId="0" borderId="1" applyAlignment="1" pivotButton="0" quotePrefix="0" xfId="0">
      <alignment horizontal="left" vertical="bottom" indent="1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shrinkToFit="1"/>
    </xf>
    <xf numFmtId="0" fontId="8" fillId="0" borderId="1" applyAlignment="1" pivotButton="0" quotePrefix="0" xfId="0">
      <alignment horizontal="left" vertical="bottom" shrinkToFit="1"/>
    </xf>
    <xf numFmtId="0" fontId="9" fillId="2" borderId="18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/>
    </xf>
    <xf numFmtId="0" fontId="11" fillId="2" borderId="19" applyAlignment="1" pivotButton="0" quotePrefix="0" xfId="0">
      <alignment horizontal="center" vertical="center"/>
    </xf>
    <xf numFmtId="0" fontId="11" fillId="2" borderId="20" applyAlignment="1" pivotButton="0" quotePrefix="0" xfId="0">
      <alignment horizontal="center" vertical="center"/>
    </xf>
    <xf numFmtId="0" fontId="11" fillId="2" borderId="18" applyAlignment="1" pivotButton="0" quotePrefix="0" xfId="0">
      <alignment horizontal="center" vertical="center"/>
    </xf>
    <xf numFmtId="0" fontId="1" fillId="2" borderId="21" pivotButton="0" quotePrefix="0" xfId="0"/>
    <xf numFmtId="0" fontId="5" fillId="0" borderId="0" pivotButton="0" quotePrefix="0" xfId="0"/>
    <xf numFmtId="0" fontId="9" fillId="0" borderId="16" applyAlignment="1" pivotButton="0" quotePrefix="0" xfId="0">
      <alignment horizontal="center" vertical="center" textRotation="90"/>
    </xf>
    <xf numFmtId="0" fontId="10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7" fillId="0" borderId="0" pivotButton="0" quotePrefix="0" xfId="0"/>
    <xf numFmtId="1" fontId="15" fillId="0" borderId="0" pivotButton="0" quotePrefix="0" xfId="0"/>
    <xf numFmtId="9" fontId="15" fillId="0" borderId="0" pivotButton="0" quotePrefix="0" xfId="0"/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 textRotation="90"/>
    </xf>
    <xf numFmtId="0" fontId="9" fillId="3" borderId="24" applyAlignment="1" pivotButton="0" quotePrefix="0" xfId="0">
      <alignment horizontal="center" vertical="center"/>
    </xf>
    <xf numFmtId="0" fontId="13" fillId="3" borderId="24" applyAlignment="1" pivotButton="0" quotePrefix="0" xfId="0">
      <alignment horizontal="center" vertical="center"/>
    </xf>
    <xf numFmtId="0" fontId="13" fillId="3" borderId="25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9" fillId="3" borderId="26" applyAlignment="1" pivotButton="0" quotePrefix="0" xfId="0">
      <alignment horizontal="center" vertical="center"/>
    </xf>
    <xf numFmtId="0" fontId="9" fillId="0" borderId="0" pivotButton="0" quotePrefix="0" xfId="0"/>
    <xf numFmtId="0" fontId="1" fillId="0" borderId="27" pivotButton="0" quotePrefix="0" xfId="0"/>
    <xf numFmtId="0" fontId="1" fillId="0" borderId="28" pivotButton="0" quotePrefix="0" xfId="0"/>
    <xf numFmtId="0" fontId="1" fillId="0" borderId="36" pivotButton="0" quotePrefix="0" xfId="0"/>
    <xf numFmtId="0" fontId="1" fillId="0" borderId="29" pivotButton="0" quotePrefix="0" xfId="0"/>
    <xf numFmtId="0" fontId="15" fillId="0" borderId="0" pivotButton="0" quotePrefix="0" xfId="0"/>
    <xf numFmtId="9" fontId="7" fillId="0" borderId="0" pivotButton="0" quotePrefix="0" xfId="0"/>
    <xf numFmtId="0" fontId="1" fillId="0" borderId="30" pivotButton="0" quotePrefix="0" xfId="0"/>
    <xf numFmtId="0" fontId="1" fillId="0" borderId="31" pivotButton="0" quotePrefix="0" xfId="0"/>
    <xf numFmtId="0" fontId="1" fillId="0" borderId="37" pivotButton="0" quotePrefix="0" xfId="0"/>
    <xf numFmtId="0" fontId="1" fillId="0" borderId="32" pivotButton="0" quotePrefix="0" xfId="0"/>
    <xf numFmtId="0" fontId="1" fillId="0" borderId="33" pivotButton="0" quotePrefix="0" xfId="0"/>
    <xf numFmtId="0" fontId="1" fillId="0" borderId="34" pivotButton="0" quotePrefix="0" xfId="0"/>
    <xf numFmtId="0" fontId="1" fillId="0" borderId="38" pivotButton="0" quotePrefix="0" xfId="0"/>
    <xf numFmtId="0" fontId="1" fillId="0" borderId="35" pivotButton="0" quotePrefix="0" xfId="0"/>
    <xf numFmtId="0" fontId="9" fillId="0" borderId="18" applyAlignment="1" pivotButton="0" quotePrefix="0" xfId="0">
      <alignment horizontal="center" vertical="center" textRotation="90"/>
    </xf>
    <xf numFmtId="0" fontId="9" fillId="3" borderId="19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9" fillId="3" borderId="21" applyAlignment="1" pivotButton="0" quotePrefix="0" xfId="0">
      <alignment horizontal="center" vertical="center"/>
    </xf>
    <xf numFmtId="0" fontId="9" fillId="2" borderId="23" applyAlignment="1" pivotButton="0" quotePrefix="0" xfId="0">
      <alignment horizontal="center" vertical="center"/>
    </xf>
    <xf numFmtId="0" fontId="9" fillId="2" borderId="24" applyAlignment="1" pivotButton="0" quotePrefix="0" xfId="0">
      <alignment horizontal="center" vertical="center"/>
    </xf>
    <xf numFmtId="0" fontId="11" fillId="2" borderId="24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/>
    </xf>
    <xf numFmtId="0" fontId="11" fillId="2" borderId="23" applyAlignment="1" pivotButton="0" quotePrefix="0" xfId="0">
      <alignment horizontal="center" vertical="center"/>
    </xf>
    <xf numFmtId="0" fontId="1" fillId="2" borderId="26" pivotButton="0" quotePrefix="0" xfId="0"/>
    <xf numFmtId="0" fontId="9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164" fontId="1" fillId="0" borderId="14" applyAlignment="1" pivotButton="0" quotePrefix="0" xfId="0">
      <alignment horizontal="center" vertical="center"/>
    </xf>
    <xf numFmtId="164" fontId="1" fillId="0" borderId="15" applyAlignment="1" pivotButton="0" quotePrefix="0" xfId="0">
      <alignment horizontal="center" vertical="center"/>
    </xf>
    <xf numFmtId="164" fontId="1" fillId="0" borderId="16" applyAlignment="1" pivotButton="0" quotePrefix="0" xfId="0">
      <alignment horizontal="center" vertical="center"/>
    </xf>
    <xf numFmtId="164" fontId="11" fillId="0" borderId="14" applyAlignment="1" pivotButton="0" quotePrefix="0" xfId="0">
      <alignment horizontal="center" vertical="center"/>
    </xf>
    <xf numFmtId="164" fontId="11" fillId="0" borderId="15" applyAlignment="1" pivotButton="0" quotePrefix="0" xfId="0">
      <alignment horizontal="center" vertical="center"/>
    </xf>
    <xf numFmtId="164" fontId="11" fillId="0" borderId="16" applyAlignment="1" pivotButton="0" quotePrefix="0" xfId="0">
      <alignment horizontal="center" vertical="center"/>
    </xf>
    <xf numFmtId="164" fontId="13" fillId="3" borderId="24" applyAlignment="1" pivotButton="0" quotePrefix="0" xfId="0">
      <alignment horizontal="center" vertical="center"/>
    </xf>
    <xf numFmtId="164" fontId="13" fillId="3" borderId="25" applyAlignment="1" pivotButton="0" quotePrefix="0" xfId="0">
      <alignment horizontal="center" vertical="center"/>
    </xf>
    <xf numFmtId="164" fontId="13" fillId="3" borderId="23" applyAlignment="1" pivotButton="0" quotePrefix="0" xfId="0">
      <alignment horizontal="center" vertical="center"/>
    </xf>
    <xf numFmtId="164" fontId="13" fillId="3" borderId="19" applyAlignment="1" pivotButton="0" quotePrefix="0" xfId="0">
      <alignment horizontal="center" vertical="center"/>
    </xf>
    <xf numFmtId="164" fontId="13" fillId="3" borderId="20" applyAlignment="1" pivotButton="0" quotePrefix="0" xfId="0">
      <alignment horizontal="center" vertical="center"/>
    </xf>
    <xf numFmtId="164" fontId="13" fillId="3" borderId="18" applyAlignment="1" pivotButton="0" quotePrefix="0" xfId="0">
      <alignment horizontal="center" vertical="center"/>
    </xf>
    <xf numFmtId="0" fontId="1" fillId="0" borderId="0" pivotButton="0" quotePrefix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 hidden="0"/>
  </cellStyles>
  <dxfs count="7">
    <dxf>
      <font>
        <color rgb="009A9AA0"/>
      </font>
      <fill>
        <patternFill patternType="lightUp">
          <fgColor rgb="009A9AA0"/>
          <bgColor rgb="00F4F4F6"/>
        </patternFill>
      </fill>
    </dxf>
    <dxf>
      <font>
        <strike val="1"/>
        <color rgb="009A9AA0"/>
      </font>
    </dxf>
    <dxf>
      <font>
        <color rgb="000A66D6"/>
        <u val="single"/>
      </font>
    </dxf>
    <dxf>
      <font>
        <b val="1"/>
        <color rgb="00FFFFFF"/>
      </font>
      <fill>
        <patternFill patternType="solid">
          <fgColor rgb="00C62828"/>
        </patternFill>
      </fill>
    </dxf>
    <dxf>
      <font>
        <b val="1"/>
        <color rgb="00C62828"/>
      </font>
    </dxf>
    <dxf>
      <font>
        <b val="1"/>
        <color rgb="001E7B45"/>
      </font>
      <fill>
        <patternFill patternType="solid">
          <fgColor rgb="00E3F3E9"/>
        </patternFill>
      </fill>
    </dxf>
    <dxf>
      <font>
        <b val="1"/>
        <color rgb="00C62828"/>
      </font>
      <fill>
        <patternFill patternType="solid">
          <fgColor rgb="00FDE5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Fpb1" Type="http://schemas.microsoft.com/office/2022/11/relationships/FeaturePropertyBag" Target="featurePropertyBag/featurePropertyBag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/Relationships>
</file>

<file path=xl/drawings/_rels/drawing2.xml.rels><Relationships xmlns="http://schemas.openxmlformats.org/package/2006/relationships"><Relationship Type="http://schemas.openxmlformats.org/officeDocument/2006/relationships/image" Target="/xl/media/image65.png" Id="rId1"/><Relationship Type="http://schemas.openxmlformats.org/officeDocument/2006/relationships/image" Target="/xl/media/image66.png" Id="rId2"/><Relationship Type="http://schemas.openxmlformats.org/officeDocument/2006/relationships/image" Target="/xl/media/image67.png" Id="rId3"/><Relationship Type="http://schemas.openxmlformats.org/officeDocument/2006/relationships/image" Target="/xl/media/image68.png" Id="rId4"/><Relationship Type="http://schemas.openxmlformats.org/officeDocument/2006/relationships/image" Target="/xl/media/image69.png" Id="rId5"/><Relationship Type="http://schemas.openxmlformats.org/officeDocument/2006/relationships/image" Target="/xl/media/image70.png" Id="rId6"/><Relationship Type="http://schemas.openxmlformats.org/officeDocument/2006/relationships/image" Target="/xl/media/image71.png" Id="rId7"/><Relationship Type="http://schemas.openxmlformats.org/officeDocument/2006/relationships/image" Target="/xl/media/image72.png" Id="rId8"/><Relationship Type="http://schemas.openxmlformats.org/officeDocument/2006/relationships/image" Target="/xl/media/image73.png" Id="rId9"/><Relationship Type="http://schemas.openxmlformats.org/officeDocument/2006/relationships/image" Target="/xl/media/image74.png" Id="rId10"/><Relationship Type="http://schemas.openxmlformats.org/officeDocument/2006/relationships/image" Target="/xl/media/image75.png" Id="rId11"/><Relationship Type="http://schemas.openxmlformats.org/officeDocument/2006/relationships/image" Target="/xl/media/image76.png" Id="rId12"/><Relationship Type="http://schemas.openxmlformats.org/officeDocument/2006/relationships/image" Target="/xl/media/image77.png" Id="rId13"/><Relationship Type="http://schemas.openxmlformats.org/officeDocument/2006/relationships/image" Target="/xl/media/image78.png" Id="rId14"/><Relationship Type="http://schemas.openxmlformats.org/officeDocument/2006/relationships/image" Target="/xl/media/image79.png" Id="rId15"/><Relationship Type="http://schemas.openxmlformats.org/officeDocument/2006/relationships/image" Target="/xl/media/image80.png" Id="rId16"/><Relationship Type="http://schemas.openxmlformats.org/officeDocument/2006/relationships/image" Target="/xl/media/image81.png" Id="rId17"/><Relationship Type="http://schemas.openxmlformats.org/officeDocument/2006/relationships/image" Target="/xl/media/image82.png" Id="rId18"/><Relationship Type="http://schemas.openxmlformats.org/officeDocument/2006/relationships/image" Target="/xl/media/image83.png" Id="rId19"/><Relationship Type="http://schemas.openxmlformats.org/officeDocument/2006/relationships/image" Target="/xl/media/image84.png" Id="rId20"/><Relationship Type="http://schemas.openxmlformats.org/officeDocument/2006/relationships/image" Target="/xl/media/image85.png" Id="rId21"/><Relationship Type="http://schemas.openxmlformats.org/officeDocument/2006/relationships/image" Target="/xl/media/image86.png" Id="rId22"/><Relationship Type="http://schemas.openxmlformats.org/officeDocument/2006/relationships/image" Target="/xl/media/image87.png" Id="rId23"/><Relationship Type="http://schemas.openxmlformats.org/officeDocument/2006/relationships/image" Target="/xl/media/image88.png" Id="rId24"/><Relationship Type="http://schemas.openxmlformats.org/officeDocument/2006/relationships/image" Target="/xl/media/image89.png" Id="rId25"/><Relationship Type="http://schemas.openxmlformats.org/officeDocument/2006/relationships/image" Target="/xl/media/image90.png" Id="rId26"/><Relationship Type="http://schemas.openxmlformats.org/officeDocument/2006/relationships/image" Target="/xl/media/image91.png" Id="rId27"/><Relationship Type="http://schemas.openxmlformats.org/officeDocument/2006/relationships/image" Target="/xl/media/image92.png" Id="rId28"/><Relationship Type="http://schemas.openxmlformats.org/officeDocument/2006/relationships/image" Target="/xl/media/image93.png" Id="rId29"/><Relationship Type="http://schemas.openxmlformats.org/officeDocument/2006/relationships/image" Target="/xl/media/image94.png" Id="rId30"/><Relationship Type="http://schemas.openxmlformats.org/officeDocument/2006/relationships/image" Target="/xl/media/image95.png" Id="rId31"/><Relationship Type="http://schemas.openxmlformats.org/officeDocument/2006/relationships/image" Target="/xl/media/image96.png" Id="rId32"/><Relationship Type="http://schemas.openxmlformats.org/officeDocument/2006/relationships/image" Target="/xl/media/image97.png" Id="rId33"/><Relationship Type="http://schemas.openxmlformats.org/officeDocument/2006/relationships/image" Target="/xl/media/image98.png" Id="rId34"/><Relationship Type="http://schemas.openxmlformats.org/officeDocument/2006/relationships/image" Target="/xl/media/image99.png" Id="rId35"/><Relationship Type="http://schemas.openxmlformats.org/officeDocument/2006/relationships/image" Target="/xl/media/image100.png" Id="rId36"/><Relationship Type="http://schemas.openxmlformats.org/officeDocument/2006/relationships/image" Target="/xl/media/image101.png" Id="rId37"/><Relationship Type="http://schemas.openxmlformats.org/officeDocument/2006/relationships/image" Target="/xl/media/image102.png" Id="rId38"/><Relationship Type="http://schemas.openxmlformats.org/officeDocument/2006/relationships/image" Target="/xl/media/image103.png" Id="rId39"/><Relationship Type="http://schemas.openxmlformats.org/officeDocument/2006/relationships/image" Target="/xl/media/image104.png" Id="rId40"/><Relationship Type="http://schemas.openxmlformats.org/officeDocument/2006/relationships/image" Target="/xl/media/image105.png" Id="rId41"/><Relationship Type="http://schemas.openxmlformats.org/officeDocument/2006/relationships/image" Target="/xl/media/image106.png" Id="rId42"/><Relationship Type="http://schemas.openxmlformats.org/officeDocument/2006/relationships/image" Target="/xl/media/image107.png" Id="rId43"/><Relationship Type="http://schemas.openxmlformats.org/officeDocument/2006/relationships/image" Target="/xl/media/image108.png" Id="rId44"/><Relationship Type="http://schemas.openxmlformats.org/officeDocument/2006/relationships/image" Target="/xl/media/image109.png" Id="rId45"/><Relationship Type="http://schemas.openxmlformats.org/officeDocument/2006/relationships/image" Target="/xl/media/image110.png" Id="rId46"/><Relationship Type="http://schemas.openxmlformats.org/officeDocument/2006/relationships/image" Target="/xl/media/image111.png" Id="rId47"/><Relationship Type="http://schemas.openxmlformats.org/officeDocument/2006/relationships/image" Target="/xl/media/image112.png" Id="rId48"/><Relationship Type="http://schemas.openxmlformats.org/officeDocument/2006/relationships/image" Target="/xl/media/image113.png" Id="rId49"/><Relationship Type="http://schemas.openxmlformats.org/officeDocument/2006/relationships/image" Target="/xl/media/image114.png" Id="rId50"/><Relationship Type="http://schemas.openxmlformats.org/officeDocument/2006/relationships/image" Target="/xl/media/image115.png" Id="rId51"/><Relationship Type="http://schemas.openxmlformats.org/officeDocument/2006/relationships/image" Target="/xl/media/image116.png" Id="rId52"/><Relationship Type="http://schemas.openxmlformats.org/officeDocument/2006/relationships/image" Target="/xl/media/image117.png" Id="rId53"/><Relationship Type="http://schemas.openxmlformats.org/officeDocument/2006/relationships/image" Target="/xl/media/image118.png" Id="rId54"/><Relationship Type="http://schemas.openxmlformats.org/officeDocument/2006/relationships/image" Target="/xl/media/image119.png" Id="rId55"/><Relationship Type="http://schemas.openxmlformats.org/officeDocument/2006/relationships/image" Target="/xl/media/image120.png" Id="rId56"/><Relationship Type="http://schemas.openxmlformats.org/officeDocument/2006/relationships/image" Target="/xl/media/image121.png" Id="rId57"/><Relationship Type="http://schemas.openxmlformats.org/officeDocument/2006/relationships/image" Target="/xl/media/image122.png" Id="rId58"/><Relationship Type="http://schemas.openxmlformats.org/officeDocument/2006/relationships/image" Target="/xl/media/image123.png" Id="rId59"/><Relationship Type="http://schemas.openxmlformats.org/officeDocument/2006/relationships/image" Target="/xl/media/image124.png" Id="rId60"/><Relationship Type="http://schemas.openxmlformats.org/officeDocument/2006/relationships/image" Target="/xl/media/image125.png" Id="rId61"/><Relationship Type="http://schemas.openxmlformats.org/officeDocument/2006/relationships/image" Target="/xl/media/image126.png" Id="rId62"/><Relationship Type="http://schemas.openxmlformats.org/officeDocument/2006/relationships/image" Target="/xl/media/image127.png" Id="rId63"/><Relationship Type="http://schemas.openxmlformats.org/officeDocument/2006/relationships/image" Target="/xl/media/image128.png" Id="rId6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29.png" Id="rId1"/><Relationship Type="http://schemas.openxmlformats.org/officeDocument/2006/relationships/image" Target="/xl/media/image130.png" Id="rId2"/><Relationship Type="http://schemas.openxmlformats.org/officeDocument/2006/relationships/image" Target="/xl/media/image131.png" Id="rId3"/><Relationship Type="http://schemas.openxmlformats.org/officeDocument/2006/relationships/image" Target="/xl/media/image132.png" Id="rId4"/><Relationship Type="http://schemas.openxmlformats.org/officeDocument/2006/relationships/image" Target="/xl/media/image133.png" Id="rId5"/><Relationship Type="http://schemas.openxmlformats.org/officeDocument/2006/relationships/image" Target="/xl/media/image134.png" Id="rId6"/><Relationship Type="http://schemas.openxmlformats.org/officeDocument/2006/relationships/image" Target="/xl/media/image135.png" Id="rId7"/><Relationship Type="http://schemas.openxmlformats.org/officeDocument/2006/relationships/image" Target="/xl/media/image136.png" Id="rId8"/><Relationship Type="http://schemas.openxmlformats.org/officeDocument/2006/relationships/image" Target="/xl/media/image137.png" Id="rId9"/><Relationship Type="http://schemas.openxmlformats.org/officeDocument/2006/relationships/image" Target="/xl/media/image138.png" Id="rId10"/><Relationship Type="http://schemas.openxmlformats.org/officeDocument/2006/relationships/image" Target="/xl/media/image139.png" Id="rId11"/><Relationship Type="http://schemas.openxmlformats.org/officeDocument/2006/relationships/image" Target="/xl/media/image140.png" Id="rId12"/><Relationship Type="http://schemas.openxmlformats.org/officeDocument/2006/relationships/image" Target="/xl/media/image141.png" Id="rId13"/><Relationship Type="http://schemas.openxmlformats.org/officeDocument/2006/relationships/image" Target="/xl/media/image142.png" Id="rId14"/><Relationship Type="http://schemas.openxmlformats.org/officeDocument/2006/relationships/image" Target="/xl/media/image143.png" Id="rId15"/><Relationship Type="http://schemas.openxmlformats.org/officeDocument/2006/relationships/image" Target="/xl/media/image144.png" Id="rId16"/><Relationship Type="http://schemas.openxmlformats.org/officeDocument/2006/relationships/image" Target="/xl/media/image145.png" Id="rId17"/><Relationship Type="http://schemas.openxmlformats.org/officeDocument/2006/relationships/image" Target="/xl/media/image146.png" Id="rId18"/><Relationship Type="http://schemas.openxmlformats.org/officeDocument/2006/relationships/image" Target="/xl/media/image147.png" Id="rId19"/><Relationship Type="http://schemas.openxmlformats.org/officeDocument/2006/relationships/image" Target="/xl/media/image148.png" Id="rId20"/><Relationship Type="http://schemas.openxmlformats.org/officeDocument/2006/relationships/image" Target="/xl/media/image149.png" Id="rId21"/><Relationship Type="http://schemas.openxmlformats.org/officeDocument/2006/relationships/image" Target="/xl/media/image150.png" Id="rId22"/><Relationship Type="http://schemas.openxmlformats.org/officeDocument/2006/relationships/image" Target="/xl/media/image151.png" Id="rId23"/><Relationship Type="http://schemas.openxmlformats.org/officeDocument/2006/relationships/image" Target="/xl/media/image152.png" Id="rId24"/><Relationship Type="http://schemas.openxmlformats.org/officeDocument/2006/relationships/image" Target="/xl/media/image153.png" Id="rId25"/><Relationship Type="http://schemas.openxmlformats.org/officeDocument/2006/relationships/image" Target="/xl/media/image154.png" Id="rId26"/><Relationship Type="http://schemas.openxmlformats.org/officeDocument/2006/relationships/image" Target="/xl/media/image155.png" Id="rId27"/><Relationship Type="http://schemas.openxmlformats.org/officeDocument/2006/relationships/image" Target="/xl/media/image156.png" Id="rId28"/><Relationship Type="http://schemas.openxmlformats.org/officeDocument/2006/relationships/image" Target="/xl/media/image157.png" Id="rId29"/><Relationship Type="http://schemas.openxmlformats.org/officeDocument/2006/relationships/image" Target="/xl/media/image158.png" Id="rId30"/><Relationship Type="http://schemas.openxmlformats.org/officeDocument/2006/relationships/image" Target="/xl/media/image159.png" Id="rId31"/><Relationship Type="http://schemas.openxmlformats.org/officeDocument/2006/relationships/image" Target="/xl/media/image160.png" Id="rId32"/><Relationship Type="http://schemas.openxmlformats.org/officeDocument/2006/relationships/image" Target="/xl/media/image161.png" Id="rId33"/><Relationship Type="http://schemas.openxmlformats.org/officeDocument/2006/relationships/image" Target="/xl/media/image162.png" Id="rId34"/><Relationship Type="http://schemas.openxmlformats.org/officeDocument/2006/relationships/image" Target="/xl/media/image163.png" Id="rId35"/><Relationship Type="http://schemas.openxmlformats.org/officeDocument/2006/relationships/image" Target="/xl/media/image164.png" Id="rId36"/><Relationship Type="http://schemas.openxmlformats.org/officeDocument/2006/relationships/image" Target="/xl/media/image165.png" Id="rId37"/><Relationship Type="http://schemas.openxmlformats.org/officeDocument/2006/relationships/image" Target="/xl/media/image166.png" Id="rId38"/><Relationship Type="http://schemas.openxmlformats.org/officeDocument/2006/relationships/image" Target="/xl/media/image167.png" Id="rId39"/><Relationship Type="http://schemas.openxmlformats.org/officeDocument/2006/relationships/image" Target="/xl/media/image168.png" Id="rId40"/><Relationship Type="http://schemas.openxmlformats.org/officeDocument/2006/relationships/image" Target="/xl/media/image169.png" Id="rId41"/><Relationship Type="http://schemas.openxmlformats.org/officeDocument/2006/relationships/image" Target="/xl/media/image170.png" Id="rId42"/><Relationship Type="http://schemas.openxmlformats.org/officeDocument/2006/relationships/image" Target="/xl/media/image171.png" Id="rId43"/><Relationship Type="http://schemas.openxmlformats.org/officeDocument/2006/relationships/image" Target="/xl/media/image172.png" Id="rId44"/><Relationship Type="http://schemas.openxmlformats.org/officeDocument/2006/relationships/image" Target="/xl/media/image173.png" Id="rId45"/><Relationship Type="http://schemas.openxmlformats.org/officeDocument/2006/relationships/image" Target="/xl/media/image174.png" Id="rId46"/><Relationship Type="http://schemas.openxmlformats.org/officeDocument/2006/relationships/image" Target="/xl/media/image175.png" Id="rId47"/><Relationship Type="http://schemas.openxmlformats.org/officeDocument/2006/relationships/image" Target="/xl/media/image176.png" Id="rId48"/><Relationship Type="http://schemas.openxmlformats.org/officeDocument/2006/relationships/image" Target="/xl/media/image177.png" Id="rId49"/><Relationship Type="http://schemas.openxmlformats.org/officeDocument/2006/relationships/image" Target="/xl/media/image178.png" Id="rId50"/><Relationship Type="http://schemas.openxmlformats.org/officeDocument/2006/relationships/image" Target="/xl/media/image179.png" Id="rId51"/><Relationship Type="http://schemas.openxmlformats.org/officeDocument/2006/relationships/image" Target="/xl/media/image180.png" Id="rId52"/><Relationship Type="http://schemas.openxmlformats.org/officeDocument/2006/relationships/image" Target="/xl/media/image181.png" Id="rId53"/><Relationship Type="http://schemas.openxmlformats.org/officeDocument/2006/relationships/image" Target="/xl/media/image182.png" Id="rId54"/><Relationship Type="http://schemas.openxmlformats.org/officeDocument/2006/relationships/image" Target="/xl/media/image183.png" Id="rId55"/><Relationship Type="http://schemas.openxmlformats.org/officeDocument/2006/relationships/image" Target="/xl/media/image184.png" Id="rId56"/><Relationship Type="http://schemas.openxmlformats.org/officeDocument/2006/relationships/image" Target="/xl/media/image185.png" Id="rId57"/><Relationship Type="http://schemas.openxmlformats.org/officeDocument/2006/relationships/image" Target="/xl/media/image186.png" Id="rId58"/><Relationship Type="http://schemas.openxmlformats.org/officeDocument/2006/relationships/image" Target="/xl/media/image187.png" Id="rId59"/><Relationship Type="http://schemas.openxmlformats.org/officeDocument/2006/relationships/image" Target="/xl/media/image188.png" Id="rId60"/><Relationship Type="http://schemas.openxmlformats.org/officeDocument/2006/relationships/image" Target="/xl/media/image189.png" Id="rId61"/><Relationship Type="http://schemas.openxmlformats.org/officeDocument/2006/relationships/image" Target="/xl/media/image190.png" Id="rId62"/><Relationship Type="http://schemas.openxmlformats.org/officeDocument/2006/relationships/image" Target="/xl/media/image191.png" Id="rId63"/><Relationship Type="http://schemas.openxmlformats.org/officeDocument/2006/relationships/image" Target="/xl/media/image192.png" Id="rId64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15</row>
      <rowOff>0</rowOff>
    </from>
    <to>
      <col>5</col>
      <colOff>0</colOff>
      <row>18</row>
      <rowOff>98277</rowOff>
    </to>
    <pic>
      <nvPicPr>
        <cNvPr id="1" name="Tooth 18 buccal" descr="Tooth 18 buccal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</col>
      <colOff>0</colOff>
      <row>18</row>
      <rowOff>136450</rowOff>
    </from>
    <to>
      <col>5</col>
      <colOff>0</colOff>
      <row>21</row>
      <rowOff>240181</rowOff>
    </to>
    <pic>
      <nvPicPr>
        <cNvPr id="2" name="Tooth 18 palatal" descr="Tooth 18 palatal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15</row>
      <rowOff>0</rowOff>
    </from>
    <to>
      <col>8</col>
      <colOff>0</colOff>
      <row>18</row>
      <rowOff>98277</rowOff>
    </to>
    <pic>
      <nvPicPr>
        <cNvPr id="3" name="Tooth 17 buccal" descr="Tooth 17 buccal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18</row>
      <rowOff>136450</rowOff>
    </from>
    <to>
      <col>8</col>
      <colOff>0</colOff>
      <row>21</row>
      <rowOff>240181</rowOff>
    </to>
    <pic>
      <nvPicPr>
        <cNvPr id="4" name="Tooth 17 palatal" descr="Tooth 17 palatal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15</row>
      <rowOff>0</rowOff>
    </from>
    <to>
      <col>11</col>
      <colOff>0</colOff>
      <row>18</row>
      <rowOff>98277</rowOff>
    </to>
    <pic>
      <nvPicPr>
        <cNvPr id="5" name="Tooth 16 buccal" descr="Tooth 16 buccal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18</row>
      <rowOff>136450</rowOff>
    </from>
    <to>
      <col>11</col>
      <colOff>0</colOff>
      <row>21</row>
      <rowOff>240181</rowOff>
    </to>
    <pic>
      <nvPicPr>
        <cNvPr id="6" name="Tooth 16 palatal" descr="Tooth 16 palatal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15</row>
      <rowOff>0</rowOff>
    </from>
    <to>
      <col>14</col>
      <colOff>0</colOff>
      <row>18</row>
      <rowOff>98277</rowOff>
    </to>
    <pic>
      <nvPicPr>
        <cNvPr id="7" name="Tooth 15 buccal" descr="Tooth 15 buccal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18</row>
      <rowOff>136450</rowOff>
    </from>
    <to>
      <col>14</col>
      <colOff>0</colOff>
      <row>21</row>
      <rowOff>240181</rowOff>
    </to>
    <pic>
      <nvPicPr>
        <cNvPr id="8" name="Tooth 15 palatal" descr="Tooth 15 palatal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15</row>
      <rowOff>0</rowOff>
    </from>
    <to>
      <col>17</col>
      <colOff>0</colOff>
      <row>18</row>
      <rowOff>98277</rowOff>
    </to>
    <pic>
      <nvPicPr>
        <cNvPr id="9" name="Tooth 14 buccal" descr="Tooth 14 buccal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18</row>
      <rowOff>136450</rowOff>
    </from>
    <to>
      <col>17</col>
      <colOff>0</colOff>
      <row>21</row>
      <rowOff>240181</rowOff>
    </to>
    <pic>
      <nvPicPr>
        <cNvPr id="10" name="Tooth 14 palatal" descr="Tooth 14 palatal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15</row>
      <rowOff>0</rowOff>
    </from>
    <to>
      <col>20</col>
      <colOff>0</colOff>
      <row>18</row>
      <rowOff>98277</rowOff>
    </to>
    <pic>
      <nvPicPr>
        <cNvPr id="11" name="Tooth 13 buccal" descr="Tooth 13 buccal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18</row>
      <rowOff>136450</rowOff>
    </from>
    <to>
      <col>20</col>
      <colOff>0</colOff>
      <row>21</row>
      <rowOff>240181</rowOff>
    </to>
    <pic>
      <nvPicPr>
        <cNvPr id="12" name="Tooth 13 palatal" descr="Tooth 13 palatal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15</row>
      <rowOff>0</rowOff>
    </from>
    <to>
      <col>23</col>
      <colOff>0</colOff>
      <row>18</row>
      <rowOff>98277</rowOff>
    </to>
    <pic>
      <nvPicPr>
        <cNvPr id="13" name="Tooth 12 buccal" descr="Tooth 12 buccal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18</row>
      <rowOff>136450</rowOff>
    </from>
    <to>
      <col>23</col>
      <colOff>0</colOff>
      <row>21</row>
      <rowOff>240181</rowOff>
    </to>
    <pic>
      <nvPicPr>
        <cNvPr id="14" name="Tooth 12 palatal" descr="Tooth 12 palatal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15</row>
      <rowOff>0</rowOff>
    </from>
    <to>
      <col>26</col>
      <colOff>0</colOff>
      <row>18</row>
      <rowOff>98277</rowOff>
    </to>
    <pic>
      <nvPicPr>
        <cNvPr id="15" name="Tooth 11 buccal" descr="Tooth 11 buccal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18</row>
      <rowOff>136450</rowOff>
    </from>
    <to>
      <col>26</col>
      <colOff>0</colOff>
      <row>21</row>
      <rowOff>240181</rowOff>
    </to>
    <pic>
      <nvPicPr>
        <cNvPr id="16" name="Tooth 11 palatal" descr="Tooth 11 palatal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15</row>
      <rowOff>0</rowOff>
    </from>
    <to>
      <col>29</col>
      <colOff>0</colOff>
      <row>18</row>
      <rowOff>98277</rowOff>
    </to>
    <pic>
      <nvPicPr>
        <cNvPr id="17" name="Tooth 21 buccal" descr="Tooth 21 buccal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18</row>
      <rowOff>136450</rowOff>
    </from>
    <to>
      <col>29</col>
      <colOff>0</colOff>
      <row>21</row>
      <rowOff>240181</rowOff>
    </to>
    <pic>
      <nvPicPr>
        <cNvPr id="18" name="Tooth 21 palatal" descr="Tooth 21 palatal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15</row>
      <rowOff>0</rowOff>
    </from>
    <to>
      <col>32</col>
      <colOff>0</colOff>
      <row>18</row>
      <rowOff>98277</rowOff>
    </to>
    <pic>
      <nvPicPr>
        <cNvPr id="19" name="Tooth 22 buccal" descr="Tooth 22 buccal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18</row>
      <rowOff>136450</rowOff>
    </from>
    <to>
      <col>32</col>
      <colOff>0</colOff>
      <row>21</row>
      <rowOff>240181</rowOff>
    </to>
    <pic>
      <nvPicPr>
        <cNvPr id="20" name="Tooth 22 palatal" descr="Tooth 22 palatal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15</row>
      <rowOff>0</rowOff>
    </from>
    <to>
      <col>35</col>
      <colOff>0</colOff>
      <row>18</row>
      <rowOff>98277</rowOff>
    </to>
    <pic>
      <nvPicPr>
        <cNvPr id="21" name="Tooth 23 buccal" descr="Tooth 23 buccal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18</row>
      <rowOff>136450</rowOff>
    </from>
    <to>
      <col>35</col>
      <colOff>0</colOff>
      <row>21</row>
      <rowOff>240181</rowOff>
    </to>
    <pic>
      <nvPicPr>
        <cNvPr id="22" name="Tooth 23 palatal" descr="Tooth 23 palatal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15</row>
      <rowOff>0</rowOff>
    </from>
    <to>
      <col>38</col>
      <colOff>0</colOff>
      <row>18</row>
      <rowOff>98277</rowOff>
    </to>
    <pic>
      <nvPicPr>
        <cNvPr id="23" name="Tooth 24 buccal" descr="Tooth 24 buccal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18</row>
      <rowOff>136450</rowOff>
    </from>
    <to>
      <col>38</col>
      <colOff>0</colOff>
      <row>21</row>
      <rowOff>240181</rowOff>
    </to>
    <pic>
      <nvPicPr>
        <cNvPr id="24" name="Tooth 24 palatal" descr="Tooth 24 palatal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15</row>
      <rowOff>0</rowOff>
    </from>
    <to>
      <col>41</col>
      <colOff>0</colOff>
      <row>18</row>
      <rowOff>98277</rowOff>
    </to>
    <pic>
      <nvPicPr>
        <cNvPr id="25" name="Tooth 25 buccal" descr="Tooth 25 buccal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18</row>
      <rowOff>136450</rowOff>
    </from>
    <to>
      <col>41</col>
      <colOff>0</colOff>
      <row>21</row>
      <rowOff>240181</rowOff>
    </to>
    <pic>
      <nvPicPr>
        <cNvPr id="26" name="Tooth 25 palatal" descr="Tooth 25 palatal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15</row>
      <rowOff>0</rowOff>
    </from>
    <to>
      <col>44</col>
      <colOff>0</colOff>
      <row>18</row>
      <rowOff>98277</rowOff>
    </to>
    <pic>
      <nvPicPr>
        <cNvPr id="27" name="Tooth 26 buccal" descr="Tooth 26 buccal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18</row>
      <rowOff>136450</rowOff>
    </from>
    <to>
      <col>44</col>
      <colOff>0</colOff>
      <row>21</row>
      <rowOff>240181</rowOff>
    </to>
    <pic>
      <nvPicPr>
        <cNvPr id="28" name="Tooth 26 palatal" descr="Tooth 26 palatal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15</row>
      <rowOff>0</rowOff>
    </from>
    <to>
      <col>47</col>
      <colOff>0</colOff>
      <row>18</row>
      <rowOff>98277</rowOff>
    </to>
    <pic>
      <nvPicPr>
        <cNvPr id="29" name="Tooth 27 buccal" descr="Tooth 27 buccal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18</row>
      <rowOff>136450</rowOff>
    </from>
    <to>
      <col>47</col>
      <colOff>0</colOff>
      <row>21</row>
      <rowOff>240181</rowOff>
    </to>
    <pic>
      <nvPicPr>
        <cNvPr id="30" name="Tooth 27 palatal" descr="Tooth 27 palatal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15</row>
      <rowOff>0</rowOff>
    </from>
    <to>
      <col>50</col>
      <colOff>0</colOff>
      <row>18</row>
      <rowOff>98277</rowOff>
    </to>
    <pic>
      <nvPicPr>
        <cNvPr id="31" name="Tooth 28 buccal" descr="Tooth 28 buccal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18</row>
      <rowOff>136450</rowOff>
    </from>
    <to>
      <col>50</col>
      <colOff>0</colOff>
      <row>21</row>
      <rowOff>240181</rowOff>
    </to>
    <pic>
      <nvPicPr>
        <cNvPr id="32" name="Tooth 28 palatal" descr="Tooth 28 palatal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</col>
      <colOff>0</colOff>
      <row>36</row>
      <rowOff>0</rowOff>
    </from>
    <to>
      <col>5</col>
      <colOff>0</colOff>
      <row>39</row>
      <rowOff>98801</rowOff>
    </to>
    <pic>
      <nvPicPr>
        <cNvPr id="33" name="Tooth 48 lingual" descr="Tooth 48 lingual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</col>
      <colOff>0</colOff>
      <row>39</row>
      <rowOff>136973</rowOff>
    </from>
    <to>
      <col>5</col>
      <colOff>0</colOff>
      <row>42</row>
      <rowOff>235775</rowOff>
    </to>
    <pic>
      <nvPicPr>
        <cNvPr id="34" name="Tooth 48 buccal" descr="Tooth 48 buccal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36</row>
      <rowOff>0</rowOff>
    </from>
    <to>
      <col>8</col>
      <colOff>0</colOff>
      <row>39</row>
      <rowOff>98801</rowOff>
    </to>
    <pic>
      <nvPicPr>
        <cNvPr id="35" name="Tooth 47 lingual" descr="Tooth 47 lingual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39</row>
      <rowOff>136973</rowOff>
    </from>
    <to>
      <col>8</col>
      <colOff>0</colOff>
      <row>42</row>
      <rowOff>235775</rowOff>
    </to>
    <pic>
      <nvPicPr>
        <cNvPr id="36" name="Tooth 47 buccal" descr="Tooth 47 buccal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36</row>
      <rowOff>0</rowOff>
    </from>
    <to>
      <col>11</col>
      <colOff>0</colOff>
      <row>39</row>
      <rowOff>98801</rowOff>
    </to>
    <pic>
      <nvPicPr>
        <cNvPr id="37" name="Tooth 46 lingual" descr="Tooth 46 lingual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39</row>
      <rowOff>136973</rowOff>
    </from>
    <to>
      <col>11</col>
      <colOff>0</colOff>
      <row>42</row>
      <rowOff>235775</rowOff>
    </to>
    <pic>
      <nvPicPr>
        <cNvPr id="38" name="Tooth 46 buccal" descr="Tooth 46 buccal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36</row>
      <rowOff>0</rowOff>
    </from>
    <to>
      <col>14</col>
      <colOff>0</colOff>
      <row>39</row>
      <rowOff>98801</rowOff>
    </to>
    <pic>
      <nvPicPr>
        <cNvPr id="39" name="Tooth 45 lingual" descr="Tooth 45 lingual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39</row>
      <rowOff>136973</rowOff>
    </from>
    <to>
      <col>14</col>
      <colOff>0</colOff>
      <row>42</row>
      <rowOff>235775</rowOff>
    </to>
    <pic>
      <nvPicPr>
        <cNvPr id="40" name="Tooth 45 buccal" descr="Tooth 45 buccal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36</row>
      <rowOff>0</rowOff>
    </from>
    <to>
      <col>17</col>
      <colOff>0</colOff>
      <row>39</row>
      <rowOff>98801</rowOff>
    </to>
    <pic>
      <nvPicPr>
        <cNvPr id="41" name="Tooth 44 lingual" descr="Tooth 44 lingual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39</row>
      <rowOff>136973</rowOff>
    </from>
    <to>
      <col>17</col>
      <colOff>0</colOff>
      <row>42</row>
      <rowOff>235775</rowOff>
    </to>
    <pic>
      <nvPicPr>
        <cNvPr id="42" name="Tooth 44 buccal" descr="Tooth 44 buccal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36</row>
      <rowOff>0</rowOff>
    </from>
    <to>
      <col>20</col>
      <colOff>0</colOff>
      <row>39</row>
      <rowOff>98801</rowOff>
    </to>
    <pic>
      <nvPicPr>
        <cNvPr id="43" name="Tooth 43 lingual" descr="Tooth 43 lingual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39</row>
      <rowOff>136973</rowOff>
    </from>
    <to>
      <col>20</col>
      <colOff>0</colOff>
      <row>42</row>
      <rowOff>235775</rowOff>
    </to>
    <pic>
      <nvPicPr>
        <cNvPr id="44" name="Tooth 43 buccal" descr="Tooth 43 buccal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36</row>
      <rowOff>0</rowOff>
    </from>
    <to>
      <col>23</col>
      <colOff>0</colOff>
      <row>39</row>
      <rowOff>98801</rowOff>
    </to>
    <pic>
      <nvPicPr>
        <cNvPr id="45" name="Tooth 42 lingual" descr="Tooth 42 lingual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39</row>
      <rowOff>136973</rowOff>
    </from>
    <to>
      <col>23</col>
      <colOff>0</colOff>
      <row>42</row>
      <rowOff>235775</rowOff>
    </to>
    <pic>
      <nvPicPr>
        <cNvPr id="46" name="Tooth 42 buccal" descr="Tooth 42 buccal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36</row>
      <rowOff>0</rowOff>
    </from>
    <to>
      <col>26</col>
      <colOff>0</colOff>
      <row>39</row>
      <rowOff>98801</rowOff>
    </to>
    <pic>
      <nvPicPr>
        <cNvPr id="47" name="Tooth 41 lingual" descr="Tooth 41 lingual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39</row>
      <rowOff>136973</rowOff>
    </from>
    <to>
      <col>26</col>
      <colOff>0</colOff>
      <row>42</row>
      <rowOff>235775</rowOff>
    </to>
    <pic>
      <nvPicPr>
        <cNvPr id="48" name="Tooth 41 buccal" descr="Tooth 41 buccal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36</row>
      <rowOff>0</rowOff>
    </from>
    <to>
      <col>29</col>
      <colOff>0</colOff>
      <row>39</row>
      <rowOff>98801</rowOff>
    </to>
    <pic>
      <nvPicPr>
        <cNvPr id="49" name="Tooth 31 lingual" descr="Tooth 31 lingual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39</row>
      <rowOff>136973</rowOff>
    </from>
    <to>
      <col>29</col>
      <colOff>0</colOff>
      <row>42</row>
      <rowOff>235775</rowOff>
    </to>
    <pic>
      <nvPicPr>
        <cNvPr id="50" name="Tooth 31 buccal" descr="Tooth 31 buccal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36</row>
      <rowOff>0</rowOff>
    </from>
    <to>
      <col>32</col>
      <colOff>0</colOff>
      <row>39</row>
      <rowOff>98801</rowOff>
    </to>
    <pic>
      <nvPicPr>
        <cNvPr id="51" name="Tooth 32 lingual" descr="Tooth 32 lingual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39</row>
      <rowOff>136973</rowOff>
    </from>
    <to>
      <col>32</col>
      <colOff>0</colOff>
      <row>42</row>
      <rowOff>235775</rowOff>
    </to>
    <pic>
      <nvPicPr>
        <cNvPr id="52" name="Tooth 32 buccal" descr="Tooth 32 buccal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36</row>
      <rowOff>0</rowOff>
    </from>
    <to>
      <col>35</col>
      <colOff>0</colOff>
      <row>39</row>
      <rowOff>98801</rowOff>
    </to>
    <pic>
      <nvPicPr>
        <cNvPr id="53" name="Tooth 33 lingual" descr="Tooth 33 lingual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39</row>
      <rowOff>136973</rowOff>
    </from>
    <to>
      <col>35</col>
      <colOff>0</colOff>
      <row>42</row>
      <rowOff>235775</rowOff>
    </to>
    <pic>
      <nvPicPr>
        <cNvPr id="54" name="Tooth 33 buccal" descr="Tooth 33 buccal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36</row>
      <rowOff>0</rowOff>
    </from>
    <to>
      <col>38</col>
      <colOff>0</colOff>
      <row>39</row>
      <rowOff>98801</rowOff>
    </to>
    <pic>
      <nvPicPr>
        <cNvPr id="55" name="Tooth 34 lingual" descr="Tooth 34 lingual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39</row>
      <rowOff>136973</rowOff>
    </from>
    <to>
      <col>38</col>
      <colOff>0</colOff>
      <row>42</row>
      <rowOff>235775</rowOff>
    </to>
    <pic>
      <nvPicPr>
        <cNvPr id="56" name="Tooth 34 buccal" descr="Tooth 34 buccal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36</row>
      <rowOff>0</rowOff>
    </from>
    <to>
      <col>41</col>
      <colOff>0</colOff>
      <row>39</row>
      <rowOff>98801</rowOff>
    </to>
    <pic>
      <nvPicPr>
        <cNvPr id="57" name="Tooth 35 lingual" descr="Tooth 35 lingual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39</row>
      <rowOff>136973</rowOff>
    </from>
    <to>
      <col>41</col>
      <colOff>0</colOff>
      <row>42</row>
      <rowOff>235775</rowOff>
    </to>
    <pic>
      <nvPicPr>
        <cNvPr id="58" name="Tooth 35 buccal" descr="Tooth 35 buccal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36</row>
      <rowOff>0</rowOff>
    </from>
    <to>
      <col>44</col>
      <colOff>0</colOff>
      <row>39</row>
      <rowOff>98801</rowOff>
    </to>
    <pic>
      <nvPicPr>
        <cNvPr id="59" name="Tooth 36 lingual" descr="Tooth 36 lingual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39</row>
      <rowOff>136973</rowOff>
    </from>
    <to>
      <col>44</col>
      <colOff>0</colOff>
      <row>42</row>
      <rowOff>235775</rowOff>
    </to>
    <pic>
      <nvPicPr>
        <cNvPr id="60" name="Tooth 36 buccal" descr="Tooth 36 buccal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36</row>
      <rowOff>0</rowOff>
    </from>
    <to>
      <col>47</col>
      <colOff>0</colOff>
      <row>39</row>
      <rowOff>98801</rowOff>
    </to>
    <pic>
      <nvPicPr>
        <cNvPr id="61" name="Tooth 37 lingual" descr="Tooth 37 lingual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39</row>
      <rowOff>136973</rowOff>
    </from>
    <to>
      <col>47</col>
      <colOff>0</colOff>
      <row>42</row>
      <rowOff>235775</rowOff>
    </to>
    <pic>
      <nvPicPr>
        <cNvPr id="62" name="Tooth 37 buccal" descr="Tooth 37 buccal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36</row>
      <rowOff>0</rowOff>
    </from>
    <to>
      <col>50</col>
      <colOff>0</colOff>
      <row>39</row>
      <rowOff>98801</rowOff>
    </to>
    <pic>
      <nvPicPr>
        <cNvPr id="63" name="Tooth 38 lingual" descr="Tooth 38 lingual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39</row>
      <rowOff>136973</rowOff>
    </from>
    <to>
      <col>50</col>
      <colOff>0</colOff>
      <row>42</row>
      <rowOff>235775</rowOff>
    </to>
    <pic>
      <nvPicPr>
        <cNvPr id="64" name="Tooth 38 buccal" descr="Tooth 38 buccal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0</colOff>
      <row>15</row>
      <rowOff>0</rowOff>
    </from>
    <to>
      <col>5</col>
      <colOff>0</colOff>
      <row>18</row>
      <rowOff>98277</rowOff>
    </to>
    <pic>
      <nvPicPr>
        <cNvPr id="1" name="Tooth 18 buccal" descr="Tooth 18 buccal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</col>
      <colOff>0</colOff>
      <row>18</row>
      <rowOff>136450</rowOff>
    </from>
    <to>
      <col>5</col>
      <colOff>0</colOff>
      <row>21</row>
      <rowOff>240181</rowOff>
    </to>
    <pic>
      <nvPicPr>
        <cNvPr id="2" name="Tooth 18 palatal" descr="Tooth 18 palatal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15</row>
      <rowOff>0</rowOff>
    </from>
    <to>
      <col>8</col>
      <colOff>0</colOff>
      <row>18</row>
      <rowOff>98277</rowOff>
    </to>
    <pic>
      <nvPicPr>
        <cNvPr id="3" name="Tooth 17 buccal" descr="Tooth 17 buccal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18</row>
      <rowOff>136450</rowOff>
    </from>
    <to>
      <col>8</col>
      <colOff>0</colOff>
      <row>21</row>
      <rowOff>240181</rowOff>
    </to>
    <pic>
      <nvPicPr>
        <cNvPr id="4" name="Tooth 17 palatal" descr="Tooth 17 palatal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15</row>
      <rowOff>0</rowOff>
    </from>
    <to>
      <col>11</col>
      <colOff>0</colOff>
      <row>18</row>
      <rowOff>98277</rowOff>
    </to>
    <pic>
      <nvPicPr>
        <cNvPr id="5" name="Tooth 16 buccal" descr="Tooth 16 buccal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18</row>
      <rowOff>136450</rowOff>
    </from>
    <to>
      <col>11</col>
      <colOff>0</colOff>
      <row>21</row>
      <rowOff>240181</rowOff>
    </to>
    <pic>
      <nvPicPr>
        <cNvPr id="6" name="Tooth 16 palatal" descr="Tooth 16 palatal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15</row>
      <rowOff>0</rowOff>
    </from>
    <to>
      <col>14</col>
      <colOff>0</colOff>
      <row>18</row>
      <rowOff>98277</rowOff>
    </to>
    <pic>
      <nvPicPr>
        <cNvPr id="7" name="Tooth 15 buccal" descr="Tooth 15 buccal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18</row>
      <rowOff>136450</rowOff>
    </from>
    <to>
      <col>14</col>
      <colOff>0</colOff>
      <row>21</row>
      <rowOff>240181</rowOff>
    </to>
    <pic>
      <nvPicPr>
        <cNvPr id="8" name="Tooth 15 palatal" descr="Tooth 15 palatal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15</row>
      <rowOff>0</rowOff>
    </from>
    <to>
      <col>17</col>
      <colOff>0</colOff>
      <row>18</row>
      <rowOff>98277</rowOff>
    </to>
    <pic>
      <nvPicPr>
        <cNvPr id="9" name="Tooth 14 buccal" descr="Tooth 14 buccal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18</row>
      <rowOff>136450</rowOff>
    </from>
    <to>
      <col>17</col>
      <colOff>0</colOff>
      <row>21</row>
      <rowOff>240181</rowOff>
    </to>
    <pic>
      <nvPicPr>
        <cNvPr id="10" name="Tooth 14 palatal" descr="Tooth 14 palatal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15</row>
      <rowOff>0</rowOff>
    </from>
    <to>
      <col>20</col>
      <colOff>0</colOff>
      <row>18</row>
      <rowOff>98277</rowOff>
    </to>
    <pic>
      <nvPicPr>
        <cNvPr id="11" name="Tooth 13 buccal" descr="Tooth 13 buccal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18</row>
      <rowOff>136450</rowOff>
    </from>
    <to>
      <col>20</col>
      <colOff>0</colOff>
      <row>21</row>
      <rowOff>240181</rowOff>
    </to>
    <pic>
      <nvPicPr>
        <cNvPr id="12" name="Tooth 13 palatal" descr="Tooth 13 palatal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15</row>
      <rowOff>0</rowOff>
    </from>
    <to>
      <col>23</col>
      <colOff>0</colOff>
      <row>18</row>
      <rowOff>98277</rowOff>
    </to>
    <pic>
      <nvPicPr>
        <cNvPr id="13" name="Tooth 12 buccal" descr="Tooth 12 buccal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18</row>
      <rowOff>136450</rowOff>
    </from>
    <to>
      <col>23</col>
      <colOff>0</colOff>
      <row>21</row>
      <rowOff>240181</rowOff>
    </to>
    <pic>
      <nvPicPr>
        <cNvPr id="14" name="Tooth 12 palatal" descr="Tooth 12 palatal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15</row>
      <rowOff>0</rowOff>
    </from>
    <to>
      <col>26</col>
      <colOff>0</colOff>
      <row>18</row>
      <rowOff>98277</rowOff>
    </to>
    <pic>
      <nvPicPr>
        <cNvPr id="15" name="Tooth 11 buccal" descr="Tooth 11 buccal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18</row>
      <rowOff>136450</rowOff>
    </from>
    <to>
      <col>26</col>
      <colOff>0</colOff>
      <row>21</row>
      <rowOff>240181</rowOff>
    </to>
    <pic>
      <nvPicPr>
        <cNvPr id="16" name="Tooth 11 palatal" descr="Tooth 11 palatal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15</row>
      <rowOff>0</rowOff>
    </from>
    <to>
      <col>29</col>
      <colOff>0</colOff>
      <row>18</row>
      <rowOff>98277</rowOff>
    </to>
    <pic>
      <nvPicPr>
        <cNvPr id="17" name="Tooth 21 buccal" descr="Tooth 21 buccal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18</row>
      <rowOff>136450</rowOff>
    </from>
    <to>
      <col>29</col>
      <colOff>0</colOff>
      <row>21</row>
      <rowOff>240181</rowOff>
    </to>
    <pic>
      <nvPicPr>
        <cNvPr id="18" name="Tooth 21 palatal" descr="Tooth 21 palatal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15</row>
      <rowOff>0</rowOff>
    </from>
    <to>
      <col>32</col>
      <colOff>0</colOff>
      <row>18</row>
      <rowOff>98277</rowOff>
    </to>
    <pic>
      <nvPicPr>
        <cNvPr id="19" name="Tooth 22 buccal" descr="Tooth 22 buccal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18</row>
      <rowOff>136450</rowOff>
    </from>
    <to>
      <col>32</col>
      <colOff>0</colOff>
      <row>21</row>
      <rowOff>240181</rowOff>
    </to>
    <pic>
      <nvPicPr>
        <cNvPr id="20" name="Tooth 22 palatal" descr="Tooth 22 palatal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15</row>
      <rowOff>0</rowOff>
    </from>
    <to>
      <col>35</col>
      <colOff>0</colOff>
      <row>18</row>
      <rowOff>98277</rowOff>
    </to>
    <pic>
      <nvPicPr>
        <cNvPr id="21" name="Tooth 23 buccal" descr="Tooth 23 buccal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18</row>
      <rowOff>136450</rowOff>
    </from>
    <to>
      <col>35</col>
      <colOff>0</colOff>
      <row>21</row>
      <rowOff>240181</rowOff>
    </to>
    <pic>
      <nvPicPr>
        <cNvPr id="22" name="Tooth 23 palatal" descr="Tooth 23 palatal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15</row>
      <rowOff>0</rowOff>
    </from>
    <to>
      <col>38</col>
      <colOff>0</colOff>
      <row>18</row>
      <rowOff>98277</rowOff>
    </to>
    <pic>
      <nvPicPr>
        <cNvPr id="23" name="Tooth 24 buccal" descr="Tooth 24 buccal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18</row>
      <rowOff>136450</rowOff>
    </from>
    <to>
      <col>38</col>
      <colOff>0</colOff>
      <row>21</row>
      <rowOff>240181</rowOff>
    </to>
    <pic>
      <nvPicPr>
        <cNvPr id="24" name="Tooth 24 palatal" descr="Tooth 24 palatal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15</row>
      <rowOff>0</rowOff>
    </from>
    <to>
      <col>41</col>
      <colOff>0</colOff>
      <row>18</row>
      <rowOff>98277</rowOff>
    </to>
    <pic>
      <nvPicPr>
        <cNvPr id="25" name="Tooth 25 buccal" descr="Tooth 25 buccal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18</row>
      <rowOff>136450</rowOff>
    </from>
    <to>
      <col>41</col>
      <colOff>0</colOff>
      <row>21</row>
      <rowOff>240181</rowOff>
    </to>
    <pic>
      <nvPicPr>
        <cNvPr id="26" name="Tooth 25 palatal" descr="Tooth 25 palatal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15</row>
      <rowOff>0</rowOff>
    </from>
    <to>
      <col>44</col>
      <colOff>0</colOff>
      <row>18</row>
      <rowOff>98277</rowOff>
    </to>
    <pic>
      <nvPicPr>
        <cNvPr id="27" name="Tooth 26 buccal" descr="Tooth 26 buccal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18</row>
      <rowOff>136450</rowOff>
    </from>
    <to>
      <col>44</col>
      <colOff>0</colOff>
      <row>21</row>
      <rowOff>240181</rowOff>
    </to>
    <pic>
      <nvPicPr>
        <cNvPr id="28" name="Tooth 26 palatal" descr="Tooth 26 palatal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15</row>
      <rowOff>0</rowOff>
    </from>
    <to>
      <col>47</col>
      <colOff>0</colOff>
      <row>18</row>
      <rowOff>98277</rowOff>
    </to>
    <pic>
      <nvPicPr>
        <cNvPr id="29" name="Tooth 27 buccal" descr="Tooth 27 buccal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18</row>
      <rowOff>136450</rowOff>
    </from>
    <to>
      <col>47</col>
      <colOff>0</colOff>
      <row>21</row>
      <rowOff>240181</rowOff>
    </to>
    <pic>
      <nvPicPr>
        <cNvPr id="30" name="Tooth 27 palatal" descr="Tooth 27 palatal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15</row>
      <rowOff>0</rowOff>
    </from>
    <to>
      <col>50</col>
      <colOff>0</colOff>
      <row>18</row>
      <rowOff>98277</rowOff>
    </to>
    <pic>
      <nvPicPr>
        <cNvPr id="31" name="Tooth 28 buccal" descr="Tooth 28 buccal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18</row>
      <rowOff>136450</rowOff>
    </from>
    <to>
      <col>50</col>
      <colOff>0</colOff>
      <row>21</row>
      <rowOff>240181</rowOff>
    </to>
    <pic>
      <nvPicPr>
        <cNvPr id="32" name="Tooth 28 palatal" descr="Tooth 28 palatal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</col>
      <colOff>0</colOff>
      <row>36</row>
      <rowOff>0</rowOff>
    </from>
    <to>
      <col>5</col>
      <colOff>0</colOff>
      <row>39</row>
      <rowOff>98801</rowOff>
    </to>
    <pic>
      <nvPicPr>
        <cNvPr id="33" name="Tooth 48 lingual" descr="Tooth 48 lingual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</col>
      <colOff>0</colOff>
      <row>39</row>
      <rowOff>136973</rowOff>
    </from>
    <to>
      <col>5</col>
      <colOff>0</colOff>
      <row>42</row>
      <rowOff>235775</rowOff>
    </to>
    <pic>
      <nvPicPr>
        <cNvPr id="34" name="Tooth 48 buccal" descr="Tooth 48 buccal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36</row>
      <rowOff>0</rowOff>
    </from>
    <to>
      <col>8</col>
      <colOff>0</colOff>
      <row>39</row>
      <rowOff>98801</rowOff>
    </to>
    <pic>
      <nvPicPr>
        <cNvPr id="35" name="Tooth 47 lingual" descr="Tooth 47 lingual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39</row>
      <rowOff>136973</rowOff>
    </from>
    <to>
      <col>8</col>
      <colOff>0</colOff>
      <row>42</row>
      <rowOff>235775</rowOff>
    </to>
    <pic>
      <nvPicPr>
        <cNvPr id="36" name="Tooth 47 buccal" descr="Tooth 47 buccal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36</row>
      <rowOff>0</rowOff>
    </from>
    <to>
      <col>11</col>
      <colOff>0</colOff>
      <row>39</row>
      <rowOff>98801</rowOff>
    </to>
    <pic>
      <nvPicPr>
        <cNvPr id="37" name="Tooth 46 lingual" descr="Tooth 46 lingual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39</row>
      <rowOff>136973</rowOff>
    </from>
    <to>
      <col>11</col>
      <colOff>0</colOff>
      <row>42</row>
      <rowOff>235775</rowOff>
    </to>
    <pic>
      <nvPicPr>
        <cNvPr id="38" name="Tooth 46 buccal" descr="Tooth 46 buccal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36</row>
      <rowOff>0</rowOff>
    </from>
    <to>
      <col>14</col>
      <colOff>0</colOff>
      <row>39</row>
      <rowOff>98801</rowOff>
    </to>
    <pic>
      <nvPicPr>
        <cNvPr id="39" name="Tooth 45 lingual" descr="Tooth 45 lingual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39</row>
      <rowOff>136973</rowOff>
    </from>
    <to>
      <col>14</col>
      <colOff>0</colOff>
      <row>42</row>
      <rowOff>235775</rowOff>
    </to>
    <pic>
      <nvPicPr>
        <cNvPr id="40" name="Tooth 45 buccal" descr="Tooth 45 buccal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36</row>
      <rowOff>0</rowOff>
    </from>
    <to>
      <col>17</col>
      <colOff>0</colOff>
      <row>39</row>
      <rowOff>98801</rowOff>
    </to>
    <pic>
      <nvPicPr>
        <cNvPr id="41" name="Tooth 44 lingual" descr="Tooth 44 lingual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39</row>
      <rowOff>136973</rowOff>
    </from>
    <to>
      <col>17</col>
      <colOff>0</colOff>
      <row>42</row>
      <rowOff>235775</rowOff>
    </to>
    <pic>
      <nvPicPr>
        <cNvPr id="42" name="Tooth 44 buccal" descr="Tooth 44 buccal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36</row>
      <rowOff>0</rowOff>
    </from>
    <to>
      <col>20</col>
      <colOff>0</colOff>
      <row>39</row>
      <rowOff>98801</rowOff>
    </to>
    <pic>
      <nvPicPr>
        <cNvPr id="43" name="Tooth 43 lingual" descr="Tooth 43 lingual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39</row>
      <rowOff>136973</rowOff>
    </from>
    <to>
      <col>20</col>
      <colOff>0</colOff>
      <row>42</row>
      <rowOff>235775</rowOff>
    </to>
    <pic>
      <nvPicPr>
        <cNvPr id="44" name="Tooth 43 buccal" descr="Tooth 43 buccal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36</row>
      <rowOff>0</rowOff>
    </from>
    <to>
      <col>23</col>
      <colOff>0</colOff>
      <row>39</row>
      <rowOff>98801</rowOff>
    </to>
    <pic>
      <nvPicPr>
        <cNvPr id="45" name="Tooth 42 lingual" descr="Tooth 42 lingual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39</row>
      <rowOff>136973</rowOff>
    </from>
    <to>
      <col>23</col>
      <colOff>0</colOff>
      <row>42</row>
      <rowOff>235775</rowOff>
    </to>
    <pic>
      <nvPicPr>
        <cNvPr id="46" name="Tooth 42 buccal" descr="Tooth 42 buccal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36</row>
      <rowOff>0</rowOff>
    </from>
    <to>
      <col>26</col>
      <colOff>0</colOff>
      <row>39</row>
      <rowOff>98801</rowOff>
    </to>
    <pic>
      <nvPicPr>
        <cNvPr id="47" name="Tooth 41 lingual" descr="Tooth 41 lingual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39</row>
      <rowOff>136973</rowOff>
    </from>
    <to>
      <col>26</col>
      <colOff>0</colOff>
      <row>42</row>
      <rowOff>235775</rowOff>
    </to>
    <pic>
      <nvPicPr>
        <cNvPr id="48" name="Tooth 41 buccal" descr="Tooth 41 buccal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36</row>
      <rowOff>0</rowOff>
    </from>
    <to>
      <col>29</col>
      <colOff>0</colOff>
      <row>39</row>
      <rowOff>98801</rowOff>
    </to>
    <pic>
      <nvPicPr>
        <cNvPr id="49" name="Tooth 31 lingual" descr="Tooth 31 lingual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39</row>
      <rowOff>136973</rowOff>
    </from>
    <to>
      <col>29</col>
      <colOff>0</colOff>
      <row>42</row>
      <rowOff>235775</rowOff>
    </to>
    <pic>
      <nvPicPr>
        <cNvPr id="50" name="Tooth 31 buccal" descr="Tooth 31 buccal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36</row>
      <rowOff>0</rowOff>
    </from>
    <to>
      <col>32</col>
      <colOff>0</colOff>
      <row>39</row>
      <rowOff>98801</rowOff>
    </to>
    <pic>
      <nvPicPr>
        <cNvPr id="51" name="Tooth 32 lingual" descr="Tooth 32 lingual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39</row>
      <rowOff>136973</rowOff>
    </from>
    <to>
      <col>32</col>
      <colOff>0</colOff>
      <row>42</row>
      <rowOff>235775</rowOff>
    </to>
    <pic>
      <nvPicPr>
        <cNvPr id="52" name="Tooth 32 buccal" descr="Tooth 32 buccal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36</row>
      <rowOff>0</rowOff>
    </from>
    <to>
      <col>35</col>
      <colOff>0</colOff>
      <row>39</row>
      <rowOff>98801</rowOff>
    </to>
    <pic>
      <nvPicPr>
        <cNvPr id="53" name="Tooth 33 lingual" descr="Tooth 33 lingual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39</row>
      <rowOff>136973</rowOff>
    </from>
    <to>
      <col>35</col>
      <colOff>0</colOff>
      <row>42</row>
      <rowOff>235775</rowOff>
    </to>
    <pic>
      <nvPicPr>
        <cNvPr id="54" name="Tooth 33 buccal" descr="Tooth 33 buccal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36</row>
      <rowOff>0</rowOff>
    </from>
    <to>
      <col>38</col>
      <colOff>0</colOff>
      <row>39</row>
      <rowOff>98801</rowOff>
    </to>
    <pic>
      <nvPicPr>
        <cNvPr id="55" name="Tooth 34 lingual" descr="Tooth 34 lingual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39</row>
      <rowOff>136973</rowOff>
    </from>
    <to>
      <col>38</col>
      <colOff>0</colOff>
      <row>42</row>
      <rowOff>235775</rowOff>
    </to>
    <pic>
      <nvPicPr>
        <cNvPr id="56" name="Tooth 34 buccal" descr="Tooth 34 buccal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36</row>
      <rowOff>0</rowOff>
    </from>
    <to>
      <col>41</col>
      <colOff>0</colOff>
      <row>39</row>
      <rowOff>98801</rowOff>
    </to>
    <pic>
      <nvPicPr>
        <cNvPr id="57" name="Tooth 35 lingual" descr="Tooth 35 lingual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39</row>
      <rowOff>136973</rowOff>
    </from>
    <to>
      <col>41</col>
      <colOff>0</colOff>
      <row>42</row>
      <rowOff>235775</rowOff>
    </to>
    <pic>
      <nvPicPr>
        <cNvPr id="58" name="Tooth 35 buccal" descr="Tooth 35 buccal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36</row>
      <rowOff>0</rowOff>
    </from>
    <to>
      <col>44</col>
      <colOff>0</colOff>
      <row>39</row>
      <rowOff>98801</rowOff>
    </to>
    <pic>
      <nvPicPr>
        <cNvPr id="59" name="Tooth 36 lingual" descr="Tooth 36 lingual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39</row>
      <rowOff>136973</rowOff>
    </from>
    <to>
      <col>44</col>
      <colOff>0</colOff>
      <row>42</row>
      <rowOff>235775</rowOff>
    </to>
    <pic>
      <nvPicPr>
        <cNvPr id="60" name="Tooth 36 buccal" descr="Tooth 36 buccal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36</row>
      <rowOff>0</rowOff>
    </from>
    <to>
      <col>47</col>
      <colOff>0</colOff>
      <row>39</row>
      <rowOff>98801</rowOff>
    </to>
    <pic>
      <nvPicPr>
        <cNvPr id="61" name="Tooth 37 lingual" descr="Tooth 37 lingual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39</row>
      <rowOff>136973</rowOff>
    </from>
    <to>
      <col>47</col>
      <colOff>0</colOff>
      <row>42</row>
      <rowOff>235775</rowOff>
    </to>
    <pic>
      <nvPicPr>
        <cNvPr id="62" name="Tooth 37 buccal" descr="Tooth 37 buccal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36</row>
      <rowOff>0</rowOff>
    </from>
    <to>
      <col>50</col>
      <colOff>0</colOff>
      <row>39</row>
      <rowOff>98801</rowOff>
    </to>
    <pic>
      <nvPicPr>
        <cNvPr id="63" name="Tooth 38 lingual" descr="Tooth 38 lingual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39</row>
      <rowOff>136973</rowOff>
    </from>
    <to>
      <col>50</col>
      <colOff>0</colOff>
      <row>42</row>
      <rowOff>235775</rowOff>
    </to>
    <pic>
      <nvPicPr>
        <cNvPr id="64" name="Tooth 38 buccal" descr="Tooth 38 buccal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0</colOff>
      <row>15</row>
      <rowOff>0</rowOff>
    </from>
    <to>
      <col>5</col>
      <colOff>0</colOff>
      <row>18</row>
      <rowOff>98277</rowOff>
    </to>
    <pic>
      <nvPicPr>
        <cNvPr id="1" name="Tooth 18 buccal" descr="Tooth 18 buccal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</col>
      <colOff>0</colOff>
      <row>18</row>
      <rowOff>136450</rowOff>
    </from>
    <to>
      <col>5</col>
      <colOff>0</colOff>
      <row>21</row>
      <rowOff>240181</rowOff>
    </to>
    <pic>
      <nvPicPr>
        <cNvPr id="2" name="Tooth 18 palatal" descr="Tooth 18 palatal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15</row>
      <rowOff>0</rowOff>
    </from>
    <to>
      <col>8</col>
      <colOff>0</colOff>
      <row>18</row>
      <rowOff>98277</rowOff>
    </to>
    <pic>
      <nvPicPr>
        <cNvPr id="3" name="Tooth 17 buccal" descr="Tooth 17 buccal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18</row>
      <rowOff>136450</rowOff>
    </from>
    <to>
      <col>8</col>
      <colOff>0</colOff>
      <row>21</row>
      <rowOff>240181</rowOff>
    </to>
    <pic>
      <nvPicPr>
        <cNvPr id="4" name="Tooth 17 palatal" descr="Tooth 17 palatal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15</row>
      <rowOff>0</rowOff>
    </from>
    <to>
      <col>11</col>
      <colOff>0</colOff>
      <row>18</row>
      <rowOff>98277</rowOff>
    </to>
    <pic>
      <nvPicPr>
        <cNvPr id="5" name="Tooth 16 buccal" descr="Tooth 16 buccal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18</row>
      <rowOff>136450</rowOff>
    </from>
    <to>
      <col>11</col>
      <colOff>0</colOff>
      <row>21</row>
      <rowOff>240181</rowOff>
    </to>
    <pic>
      <nvPicPr>
        <cNvPr id="6" name="Tooth 16 palatal" descr="Tooth 16 palatal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15</row>
      <rowOff>0</rowOff>
    </from>
    <to>
      <col>14</col>
      <colOff>0</colOff>
      <row>18</row>
      <rowOff>98277</rowOff>
    </to>
    <pic>
      <nvPicPr>
        <cNvPr id="7" name="Tooth 15 buccal" descr="Tooth 15 buccal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18</row>
      <rowOff>136450</rowOff>
    </from>
    <to>
      <col>14</col>
      <colOff>0</colOff>
      <row>21</row>
      <rowOff>240181</rowOff>
    </to>
    <pic>
      <nvPicPr>
        <cNvPr id="8" name="Tooth 15 palatal" descr="Tooth 15 palatal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15</row>
      <rowOff>0</rowOff>
    </from>
    <to>
      <col>17</col>
      <colOff>0</colOff>
      <row>18</row>
      <rowOff>98277</rowOff>
    </to>
    <pic>
      <nvPicPr>
        <cNvPr id="9" name="Tooth 14 buccal" descr="Tooth 14 buccal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18</row>
      <rowOff>136450</rowOff>
    </from>
    <to>
      <col>17</col>
      <colOff>0</colOff>
      <row>21</row>
      <rowOff>240181</rowOff>
    </to>
    <pic>
      <nvPicPr>
        <cNvPr id="10" name="Tooth 14 palatal" descr="Tooth 14 palatal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15</row>
      <rowOff>0</rowOff>
    </from>
    <to>
      <col>20</col>
      <colOff>0</colOff>
      <row>18</row>
      <rowOff>98277</rowOff>
    </to>
    <pic>
      <nvPicPr>
        <cNvPr id="11" name="Tooth 13 buccal" descr="Tooth 13 buccal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18</row>
      <rowOff>136450</rowOff>
    </from>
    <to>
      <col>20</col>
      <colOff>0</colOff>
      <row>21</row>
      <rowOff>240181</rowOff>
    </to>
    <pic>
      <nvPicPr>
        <cNvPr id="12" name="Tooth 13 palatal" descr="Tooth 13 palatal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15</row>
      <rowOff>0</rowOff>
    </from>
    <to>
      <col>23</col>
      <colOff>0</colOff>
      <row>18</row>
      <rowOff>98277</rowOff>
    </to>
    <pic>
      <nvPicPr>
        <cNvPr id="13" name="Tooth 12 buccal" descr="Tooth 12 buccal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18</row>
      <rowOff>136450</rowOff>
    </from>
    <to>
      <col>23</col>
      <colOff>0</colOff>
      <row>21</row>
      <rowOff>240181</rowOff>
    </to>
    <pic>
      <nvPicPr>
        <cNvPr id="14" name="Tooth 12 palatal" descr="Tooth 12 palatal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15</row>
      <rowOff>0</rowOff>
    </from>
    <to>
      <col>26</col>
      <colOff>0</colOff>
      <row>18</row>
      <rowOff>98277</rowOff>
    </to>
    <pic>
      <nvPicPr>
        <cNvPr id="15" name="Tooth 11 buccal" descr="Tooth 11 buccal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18</row>
      <rowOff>136450</rowOff>
    </from>
    <to>
      <col>26</col>
      <colOff>0</colOff>
      <row>21</row>
      <rowOff>240181</rowOff>
    </to>
    <pic>
      <nvPicPr>
        <cNvPr id="16" name="Tooth 11 palatal" descr="Tooth 11 palatal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15</row>
      <rowOff>0</rowOff>
    </from>
    <to>
      <col>29</col>
      <colOff>0</colOff>
      <row>18</row>
      <rowOff>98277</rowOff>
    </to>
    <pic>
      <nvPicPr>
        <cNvPr id="17" name="Tooth 21 buccal" descr="Tooth 21 buccal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18</row>
      <rowOff>136450</rowOff>
    </from>
    <to>
      <col>29</col>
      <colOff>0</colOff>
      <row>21</row>
      <rowOff>240181</rowOff>
    </to>
    <pic>
      <nvPicPr>
        <cNvPr id="18" name="Tooth 21 palatal" descr="Tooth 21 palatal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15</row>
      <rowOff>0</rowOff>
    </from>
    <to>
      <col>32</col>
      <colOff>0</colOff>
      <row>18</row>
      <rowOff>98277</rowOff>
    </to>
    <pic>
      <nvPicPr>
        <cNvPr id="19" name="Tooth 22 buccal" descr="Tooth 22 buccal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18</row>
      <rowOff>136450</rowOff>
    </from>
    <to>
      <col>32</col>
      <colOff>0</colOff>
      <row>21</row>
      <rowOff>240181</rowOff>
    </to>
    <pic>
      <nvPicPr>
        <cNvPr id="20" name="Tooth 22 palatal" descr="Tooth 22 palatal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15</row>
      <rowOff>0</rowOff>
    </from>
    <to>
      <col>35</col>
      <colOff>0</colOff>
      <row>18</row>
      <rowOff>98277</rowOff>
    </to>
    <pic>
      <nvPicPr>
        <cNvPr id="21" name="Tooth 23 buccal" descr="Tooth 23 buccal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18</row>
      <rowOff>136450</rowOff>
    </from>
    <to>
      <col>35</col>
      <colOff>0</colOff>
      <row>21</row>
      <rowOff>240181</rowOff>
    </to>
    <pic>
      <nvPicPr>
        <cNvPr id="22" name="Tooth 23 palatal" descr="Tooth 23 palatal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15</row>
      <rowOff>0</rowOff>
    </from>
    <to>
      <col>38</col>
      <colOff>0</colOff>
      <row>18</row>
      <rowOff>98277</rowOff>
    </to>
    <pic>
      <nvPicPr>
        <cNvPr id="23" name="Tooth 24 buccal" descr="Tooth 24 buccal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18</row>
      <rowOff>136450</rowOff>
    </from>
    <to>
      <col>38</col>
      <colOff>0</colOff>
      <row>21</row>
      <rowOff>240181</rowOff>
    </to>
    <pic>
      <nvPicPr>
        <cNvPr id="24" name="Tooth 24 palatal" descr="Tooth 24 palatal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15</row>
      <rowOff>0</rowOff>
    </from>
    <to>
      <col>41</col>
      <colOff>0</colOff>
      <row>18</row>
      <rowOff>98277</rowOff>
    </to>
    <pic>
      <nvPicPr>
        <cNvPr id="25" name="Tooth 25 buccal" descr="Tooth 25 buccal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18</row>
      <rowOff>136450</rowOff>
    </from>
    <to>
      <col>41</col>
      <colOff>0</colOff>
      <row>21</row>
      <rowOff>240181</rowOff>
    </to>
    <pic>
      <nvPicPr>
        <cNvPr id="26" name="Tooth 25 palatal" descr="Tooth 25 palatal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15</row>
      <rowOff>0</rowOff>
    </from>
    <to>
      <col>44</col>
      <colOff>0</colOff>
      <row>18</row>
      <rowOff>98277</rowOff>
    </to>
    <pic>
      <nvPicPr>
        <cNvPr id="27" name="Tooth 26 buccal" descr="Tooth 26 buccal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18</row>
      <rowOff>136450</rowOff>
    </from>
    <to>
      <col>44</col>
      <colOff>0</colOff>
      <row>21</row>
      <rowOff>240181</rowOff>
    </to>
    <pic>
      <nvPicPr>
        <cNvPr id="28" name="Tooth 26 palatal" descr="Tooth 26 palatal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15</row>
      <rowOff>0</rowOff>
    </from>
    <to>
      <col>47</col>
      <colOff>0</colOff>
      <row>18</row>
      <rowOff>98277</rowOff>
    </to>
    <pic>
      <nvPicPr>
        <cNvPr id="29" name="Tooth 27 buccal" descr="Tooth 27 buccal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18</row>
      <rowOff>136450</rowOff>
    </from>
    <to>
      <col>47</col>
      <colOff>0</colOff>
      <row>21</row>
      <rowOff>240181</rowOff>
    </to>
    <pic>
      <nvPicPr>
        <cNvPr id="30" name="Tooth 27 palatal" descr="Tooth 27 palatal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15</row>
      <rowOff>0</rowOff>
    </from>
    <to>
      <col>50</col>
      <colOff>0</colOff>
      <row>18</row>
      <rowOff>98277</rowOff>
    </to>
    <pic>
      <nvPicPr>
        <cNvPr id="31" name="Tooth 28 buccal" descr="Tooth 28 buccal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18</row>
      <rowOff>136450</rowOff>
    </from>
    <to>
      <col>50</col>
      <colOff>0</colOff>
      <row>21</row>
      <rowOff>240181</rowOff>
    </to>
    <pic>
      <nvPicPr>
        <cNvPr id="32" name="Tooth 28 palatal" descr="Tooth 28 palatal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</col>
      <colOff>0</colOff>
      <row>36</row>
      <rowOff>0</rowOff>
    </from>
    <to>
      <col>5</col>
      <colOff>0</colOff>
      <row>39</row>
      <rowOff>98801</rowOff>
    </to>
    <pic>
      <nvPicPr>
        <cNvPr id="33" name="Tooth 48 lingual" descr="Tooth 48 lingual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</col>
      <colOff>0</colOff>
      <row>39</row>
      <rowOff>136973</rowOff>
    </from>
    <to>
      <col>5</col>
      <colOff>0</colOff>
      <row>42</row>
      <rowOff>235775</rowOff>
    </to>
    <pic>
      <nvPicPr>
        <cNvPr id="34" name="Tooth 48 buccal" descr="Tooth 48 buccal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36</row>
      <rowOff>0</rowOff>
    </from>
    <to>
      <col>8</col>
      <colOff>0</colOff>
      <row>39</row>
      <rowOff>98801</rowOff>
    </to>
    <pic>
      <nvPicPr>
        <cNvPr id="35" name="Tooth 47 lingual" descr="Tooth 47 lingual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5</col>
      <colOff>0</colOff>
      <row>39</row>
      <rowOff>136973</rowOff>
    </from>
    <to>
      <col>8</col>
      <colOff>0</colOff>
      <row>42</row>
      <rowOff>235775</rowOff>
    </to>
    <pic>
      <nvPicPr>
        <cNvPr id="36" name="Tooth 47 buccal" descr="Tooth 47 buccal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36</row>
      <rowOff>0</rowOff>
    </from>
    <to>
      <col>11</col>
      <colOff>0</colOff>
      <row>39</row>
      <rowOff>98801</rowOff>
    </to>
    <pic>
      <nvPicPr>
        <cNvPr id="37" name="Tooth 46 lingual" descr="Tooth 46 lingual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0</colOff>
      <row>39</row>
      <rowOff>136973</rowOff>
    </from>
    <to>
      <col>11</col>
      <colOff>0</colOff>
      <row>42</row>
      <rowOff>235775</rowOff>
    </to>
    <pic>
      <nvPicPr>
        <cNvPr id="38" name="Tooth 46 buccal" descr="Tooth 46 buccal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36</row>
      <rowOff>0</rowOff>
    </from>
    <to>
      <col>14</col>
      <colOff>0</colOff>
      <row>39</row>
      <rowOff>98801</rowOff>
    </to>
    <pic>
      <nvPicPr>
        <cNvPr id="39" name="Tooth 45 lingual" descr="Tooth 45 lingual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0</colOff>
      <row>39</row>
      <rowOff>136973</rowOff>
    </from>
    <to>
      <col>14</col>
      <colOff>0</colOff>
      <row>42</row>
      <rowOff>235775</rowOff>
    </to>
    <pic>
      <nvPicPr>
        <cNvPr id="40" name="Tooth 45 buccal" descr="Tooth 45 buccal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36</row>
      <rowOff>0</rowOff>
    </from>
    <to>
      <col>17</col>
      <colOff>0</colOff>
      <row>39</row>
      <rowOff>98801</rowOff>
    </to>
    <pic>
      <nvPicPr>
        <cNvPr id="41" name="Tooth 44 lingual" descr="Tooth 44 lingual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0</colOff>
      <row>39</row>
      <rowOff>136973</rowOff>
    </from>
    <to>
      <col>17</col>
      <colOff>0</colOff>
      <row>42</row>
      <rowOff>235775</rowOff>
    </to>
    <pic>
      <nvPicPr>
        <cNvPr id="42" name="Tooth 44 buccal" descr="Tooth 44 buccal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36</row>
      <rowOff>0</rowOff>
    </from>
    <to>
      <col>20</col>
      <colOff>0</colOff>
      <row>39</row>
      <rowOff>98801</rowOff>
    </to>
    <pic>
      <nvPicPr>
        <cNvPr id="43" name="Tooth 43 lingual" descr="Tooth 43 lingual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17</col>
      <colOff>0</colOff>
      <row>39</row>
      <rowOff>136973</rowOff>
    </from>
    <to>
      <col>20</col>
      <colOff>0</colOff>
      <row>42</row>
      <rowOff>235775</rowOff>
    </to>
    <pic>
      <nvPicPr>
        <cNvPr id="44" name="Tooth 43 buccal" descr="Tooth 43 buccal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36</row>
      <rowOff>0</rowOff>
    </from>
    <to>
      <col>23</col>
      <colOff>0</colOff>
      <row>39</row>
      <rowOff>98801</rowOff>
    </to>
    <pic>
      <nvPicPr>
        <cNvPr id="45" name="Tooth 42 lingual" descr="Tooth 42 lingual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0</colOff>
      <row>39</row>
      <rowOff>136973</rowOff>
    </from>
    <to>
      <col>23</col>
      <colOff>0</colOff>
      <row>42</row>
      <rowOff>235775</rowOff>
    </to>
    <pic>
      <nvPicPr>
        <cNvPr id="46" name="Tooth 42 buccal" descr="Tooth 42 buccal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36</row>
      <rowOff>0</rowOff>
    </from>
    <to>
      <col>26</col>
      <colOff>0</colOff>
      <row>39</row>
      <rowOff>98801</rowOff>
    </to>
    <pic>
      <nvPicPr>
        <cNvPr id="47" name="Tooth 41 lingual" descr="Tooth 41 lingual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23</col>
      <colOff>0</colOff>
      <row>39</row>
      <rowOff>136973</rowOff>
    </from>
    <to>
      <col>26</col>
      <colOff>0</colOff>
      <row>42</row>
      <rowOff>235775</rowOff>
    </to>
    <pic>
      <nvPicPr>
        <cNvPr id="48" name="Tooth 41 buccal" descr="Tooth 41 buccal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36</row>
      <rowOff>0</rowOff>
    </from>
    <to>
      <col>29</col>
      <colOff>0</colOff>
      <row>39</row>
      <rowOff>98801</rowOff>
    </to>
    <pic>
      <nvPicPr>
        <cNvPr id="49" name="Tooth 31 lingual" descr="Tooth 31 lingual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26</col>
      <colOff>0</colOff>
      <row>39</row>
      <rowOff>136973</rowOff>
    </from>
    <to>
      <col>29</col>
      <colOff>0</colOff>
      <row>42</row>
      <rowOff>235775</rowOff>
    </to>
    <pic>
      <nvPicPr>
        <cNvPr id="50" name="Tooth 31 buccal" descr="Tooth 31 buccal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36</row>
      <rowOff>0</rowOff>
    </from>
    <to>
      <col>32</col>
      <colOff>0</colOff>
      <row>39</row>
      <rowOff>98801</rowOff>
    </to>
    <pic>
      <nvPicPr>
        <cNvPr id="51" name="Tooth 32 lingual" descr="Tooth 32 lingual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29</col>
      <colOff>0</colOff>
      <row>39</row>
      <rowOff>136973</rowOff>
    </from>
    <to>
      <col>32</col>
      <colOff>0</colOff>
      <row>42</row>
      <rowOff>235775</rowOff>
    </to>
    <pic>
      <nvPicPr>
        <cNvPr id="52" name="Tooth 32 buccal" descr="Tooth 32 buccal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36</row>
      <rowOff>0</rowOff>
    </from>
    <to>
      <col>35</col>
      <colOff>0</colOff>
      <row>39</row>
      <rowOff>98801</rowOff>
    </to>
    <pic>
      <nvPicPr>
        <cNvPr id="53" name="Tooth 33 lingual" descr="Tooth 33 lingual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32</col>
      <colOff>0</colOff>
      <row>39</row>
      <rowOff>136973</rowOff>
    </from>
    <to>
      <col>35</col>
      <colOff>0</colOff>
      <row>42</row>
      <rowOff>235775</rowOff>
    </to>
    <pic>
      <nvPicPr>
        <cNvPr id="54" name="Tooth 33 buccal" descr="Tooth 33 buccal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36</row>
      <rowOff>0</rowOff>
    </from>
    <to>
      <col>38</col>
      <colOff>0</colOff>
      <row>39</row>
      <rowOff>98801</rowOff>
    </to>
    <pic>
      <nvPicPr>
        <cNvPr id="55" name="Tooth 34 lingual" descr="Tooth 34 lingual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35</col>
      <colOff>0</colOff>
      <row>39</row>
      <rowOff>136973</rowOff>
    </from>
    <to>
      <col>38</col>
      <colOff>0</colOff>
      <row>42</row>
      <rowOff>235775</rowOff>
    </to>
    <pic>
      <nvPicPr>
        <cNvPr id="56" name="Tooth 34 buccal" descr="Tooth 34 buccal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36</row>
      <rowOff>0</rowOff>
    </from>
    <to>
      <col>41</col>
      <colOff>0</colOff>
      <row>39</row>
      <rowOff>98801</rowOff>
    </to>
    <pic>
      <nvPicPr>
        <cNvPr id="57" name="Tooth 35 lingual" descr="Tooth 35 lingual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38</col>
      <colOff>0</colOff>
      <row>39</row>
      <rowOff>136973</rowOff>
    </from>
    <to>
      <col>41</col>
      <colOff>0</colOff>
      <row>42</row>
      <rowOff>235775</rowOff>
    </to>
    <pic>
      <nvPicPr>
        <cNvPr id="58" name="Tooth 35 buccal" descr="Tooth 35 buccal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36</row>
      <rowOff>0</rowOff>
    </from>
    <to>
      <col>44</col>
      <colOff>0</colOff>
      <row>39</row>
      <rowOff>98801</rowOff>
    </to>
    <pic>
      <nvPicPr>
        <cNvPr id="59" name="Tooth 36 lingual" descr="Tooth 36 lingual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41</col>
      <colOff>0</colOff>
      <row>39</row>
      <rowOff>136973</rowOff>
    </from>
    <to>
      <col>44</col>
      <colOff>0</colOff>
      <row>42</row>
      <rowOff>235775</rowOff>
    </to>
    <pic>
      <nvPicPr>
        <cNvPr id="60" name="Tooth 36 buccal" descr="Tooth 36 buccal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36</row>
      <rowOff>0</rowOff>
    </from>
    <to>
      <col>47</col>
      <colOff>0</colOff>
      <row>39</row>
      <rowOff>98801</rowOff>
    </to>
    <pic>
      <nvPicPr>
        <cNvPr id="61" name="Tooth 37 lingual" descr="Tooth 37 lingual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44</col>
      <colOff>0</colOff>
      <row>39</row>
      <rowOff>136973</rowOff>
    </from>
    <to>
      <col>47</col>
      <colOff>0</colOff>
      <row>42</row>
      <rowOff>235775</rowOff>
    </to>
    <pic>
      <nvPicPr>
        <cNvPr id="62" name="Tooth 37 buccal" descr="Tooth 37 buccal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36</row>
      <rowOff>0</rowOff>
    </from>
    <to>
      <col>50</col>
      <colOff>0</colOff>
      <row>39</row>
      <rowOff>98801</rowOff>
    </to>
    <pic>
      <nvPicPr>
        <cNvPr id="63" name="Tooth 38 lingual" descr="Tooth 38 lingual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47</col>
      <colOff>0</colOff>
      <row>39</row>
      <rowOff>136973</rowOff>
    </from>
    <to>
      <col>50</col>
      <colOff>0</colOff>
      <row>42</row>
      <rowOff>235775</rowOff>
    </to>
    <pic>
      <nvPicPr>
        <cNvPr id="64" name="Tooth 38 buccal" descr="Tooth 38 buccal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A66D6"/>
    <outlinePr summaryBelow="1" summaryRight="1"/>
    <pageSetUpPr fitToPage="1"/>
  </sheetPr>
  <dimension ref="A1:BC56"/>
  <sheetViews>
    <sheetView showGridLines="0" zoomScale="100" workbookViewId="0">
      <selection activeCell="A1" sqref="A1"/>
    </sheetView>
  </sheetViews>
  <sheetFormatPr baseColWidth="8" defaultRowHeight="15"/>
  <cols>
    <col width="6.5" customWidth="1" min="1" max="1"/>
    <col width="8.5" customWidth="1" min="2" max="2"/>
    <col width="2.83" customWidth="1" min="3" max="3"/>
    <col width="2.83" customWidth="1" min="4" max="4"/>
    <col width="2.83" customWidth="1" min="5" max="5"/>
    <col width="2.83" customWidth="1" min="6" max="6"/>
    <col width="2.83" customWidth="1" min="7" max="7"/>
    <col width="2.83" customWidth="1" min="8" max="8"/>
    <col width="2.83" customWidth="1" min="9" max="9"/>
    <col width="2.83" customWidth="1" min="10" max="10"/>
    <col width="2.83" customWidth="1" min="11" max="11"/>
    <col width="2.83" customWidth="1" min="12" max="12"/>
    <col width="2.83" customWidth="1" min="13" max="13"/>
    <col width="2.83" customWidth="1" min="14" max="14"/>
    <col width="2.83" customWidth="1" min="15" max="15"/>
    <col width="2.83" customWidth="1" min="16" max="16"/>
    <col width="2.83" customWidth="1" min="17" max="17"/>
    <col width="2.83" customWidth="1" min="18" max="18"/>
    <col width="2.83" customWidth="1" min="19" max="19"/>
    <col width="2.83" customWidth="1" min="20" max="20"/>
    <col width="2.83" customWidth="1" min="21" max="21"/>
    <col width="2.83" customWidth="1" min="22" max="22"/>
    <col width="2.83" customWidth="1" min="23" max="23"/>
    <col width="2.83" customWidth="1" min="24" max="24"/>
    <col width="2.83" customWidth="1" min="25" max="25"/>
    <col width="2.83" customWidth="1" min="26" max="26"/>
    <col width="2.83" customWidth="1" min="27" max="27"/>
    <col width="2.83" customWidth="1" min="28" max="28"/>
    <col width="2.83" customWidth="1" min="29" max="29"/>
    <col width="2.83" customWidth="1" min="30" max="30"/>
    <col width="2.83" customWidth="1" min="31" max="31"/>
    <col width="2.83" customWidth="1" min="32" max="32"/>
    <col width="2.83" customWidth="1" min="33" max="33"/>
    <col width="2.83" customWidth="1" min="34" max="34"/>
    <col width="2.83" customWidth="1" min="35" max="35"/>
    <col width="2.83" customWidth="1" min="36" max="36"/>
    <col width="2.83" customWidth="1" min="37" max="37"/>
    <col width="2.83" customWidth="1" min="38" max="38"/>
    <col width="2.83" customWidth="1" min="39" max="39"/>
    <col width="2.83" customWidth="1" min="40" max="40"/>
    <col width="2.83" customWidth="1" min="41" max="41"/>
    <col width="2.83" customWidth="1" min="42" max="42"/>
    <col width="2.83" customWidth="1" min="43" max="43"/>
    <col width="2.83" customWidth="1" min="44" max="44"/>
    <col width="2.83" customWidth="1" min="45" max="45"/>
    <col width="2.83" customWidth="1" min="46" max="46"/>
    <col width="2.83" customWidth="1" min="47" max="47"/>
    <col width="2.83" customWidth="1" min="48" max="48"/>
    <col width="2.83" customWidth="1" min="49" max="49"/>
    <col width="2.83" customWidth="1" min="50" max="50"/>
    <col width="8.5" customWidth="1" min="51" max="51"/>
    <col width="3" customWidth="1" min="52" max="52"/>
    <col width="18" customWidth="1" min="53" max="53"/>
    <col width="9" customWidth="1" min="54" max="54"/>
    <col width="9" customWidth="1" min="55" max="55"/>
  </cols>
  <sheetData>
    <row r="1" ht="30" customHeight="1">
      <c r="A1" s="1" t="n"/>
      <c r="B1" s="1" t="n"/>
      <c r="C1" s="2" t="inlineStr">
        <is>
          <t>PERIODONTAL CHART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1" t="n"/>
      <c r="AB1" s="1" t="n"/>
      <c r="AC1" s="1" t="n"/>
      <c r="AD1" s="1" t="n"/>
      <c r="AE1" s="3" t="inlineStr">
        <is>
          <t>BOP</t>
        </is>
      </c>
      <c r="AF1" s="3" t="n"/>
      <c r="AG1" s="3" t="n"/>
      <c r="AH1" s="3" t="n"/>
      <c r="AI1" s="4">
        <f>BB13</f>
        <v/>
      </c>
      <c r="AJ1" s="5" t="n"/>
      <c r="AK1" s="5" t="n"/>
      <c r="AL1" s="5" t="n"/>
      <c r="AM1" s="1" t="n"/>
      <c r="AN1" s="3" t="inlineStr">
        <is>
          <t>Plaque</t>
        </is>
      </c>
      <c r="AO1" s="3" t="n"/>
      <c r="AP1" s="3" t="n"/>
      <c r="AQ1" s="3" t="n"/>
      <c r="AR1" s="3" t="n"/>
      <c r="AS1" s="4">
        <f>BB12</f>
        <v/>
      </c>
      <c r="AT1" s="5" t="n"/>
      <c r="AU1" s="5" t="n"/>
      <c r="AV1" s="5" t="n"/>
      <c r="AW1" s="1" t="n"/>
      <c r="AX1" s="1" t="n"/>
      <c r="AY1" s="1" t="n"/>
      <c r="BA1" s="6" t="inlineStr">
        <is>
          <t>perio-chart-template:3</t>
        </is>
      </c>
    </row>
    <row r="2" ht="22" customHeight="1">
      <c r="A2" s="1" t="n"/>
      <c r="B2" s="1" t="n"/>
      <c r="C2" s="7" t="inlineStr">
        <is>
          <t>Patient</t>
        </is>
      </c>
      <c r="D2" s="7" t="n"/>
      <c r="E2" s="7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7" t="inlineStr">
        <is>
          <t>HN</t>
        </is>
      </c>
      <c r="V2" s="7" t="n"/>
      <c r="W2" s="8" t="n"/>
      <c r="X2" s="8" t="n"/>
      <c r="Y2" s="8" t="n"/>
      <c r="Z2" s="8" t="n"/>
      <c r="AA2" s="8" t="n"/>
      <c r="AB2" s="8" t="n"/>
      <c r="AC2" s="8" t="n"/>
      <c r="AD2" s="8" t="n"/>
      <c r="AE2" s="7" t="inlineStr">
        <is>
          <t>Date</t>
        </is>
      </c>
      <c r="AF2" s="7" t="n"/>
      <c r="AG2" s="7" t="n"/>
      <c r="AH2" s="8" t="n"/>
      <c r="AI2" s="8" t="n"/>
      <c r="AJ2" s="8" t="n"/>
      <c r="AK2" s="8" t="n"/>
      <c r="AL2" s="8" t="n"/>
      <c r="AM2" s="8" t="n"/>
      <c r="AN2" s="8" t="n"/>
      <c r="AO2" s="7" t="inlineStr">
        <is>
          <t>Examiner</t>
        </is>
      </c>
      <c r="AP2" s="7" t="n"/>
      <c r="AQ2" s="7" t="n"/>
      <c r="AR2" s="7" t="n"/>
      <c r="AS2" s="8" t="n"/>
      <c r="AT2" s="8" t="n"/>
      <c r="AU2" s="8" t="n"/>
      <c r="AV2" s="8" t="n"/>
      <c r="AW2" s="8" t="n"/>
      <c r="AX2" s="8" t="n"/>
      <c r="AY2" s="1" t="n"/>
    </row>
    <row r="3" ht="22" customHeight="1">
      <c r="A3" s="1" t="n"/>
      <c r="B3" s="1" t="n"/>
      <c r="C3" s="9" t="inlineStr">
        <is>
          <t>Stage of therapy</t>
        </is>
      </c>
      <c r="D3" s="9" t="n"/>
      <c r="E3" s="9" t="n"/>
      <c r="F3" s="9" t="n"/>
      <c r="G3" s="9" t="n"/>
      <c r="H3" s="9" t="n"/>
      <c r="I3" s="9" t="n"/>
      <c r="J3" s="91" t="b">
        <v>0</v>
      </c>
      <c r="K3" s="10" t="inlineStr">
        <is>
          <t>Pre-treatment</t>
        </is>
      </c>
      <c r="L3" s="10" t="n"/>
      <c r="M3" s="10" t="n"/>
      <c r="N3" s="10" t="n"/>
      <c r="O3" s="10" t="n"/>
      <c r="P3" s="10" t="n"/>
      <c r="Q3" s="91" t="b">
        <v>0</v>
      </c>
      <c r="R3" s="10" t="inlineStr">
        <is>
          <t>Re-evaluation</t>
        </is>
      </c>
      <c r="S3" s="10" t="n"/>
      <c r="T3" s="10" t="n"/>
      <c r="U3" s="10" t="n"/>
      <c r="V3" s="10" t="n"/>
      <c r="W3" s="10" t="n"/>
      <c r="X3" s="91" t="b">
        <v>0</v>
      </c>
      <c r="Y3" s="10" t="inlineStr">
        <is>
          <t>Recall (SPT)</t>
        </is>
      </c>
      <c r="Z3" s="10" t="n"/>
      <c r="AA3" s="10" t="n"/>
      <c r="AB3" s="10" t="n"/>
      <c r="AC3" s="10" t="n"/>
      <c r="AD3" s="10" t="n"/>
      <c r="AE3" s="7" t="inlineStr">
        <is>
          <t>Age</t>
        </is>
      </c>
      <c r="AF3" s="7" t="n"/>
      <c r="AG3" s="7" t="n"/>
      <c r="AH3" s="8" t="n"/>
      <c r="AI3" s="8" t="n"/>
      <c r="AJ3" s="8" t="n"/>
      <c r="AK3" s="1" t="n"/>
      <c r="AL3" s="1" t="n"/>
      <c r="AM3" s="1" t="n"/>
      <c r="AN3" s="1" t="n"/>
      <c r="AO3" s="7" t="inlineStr">
        <is>
          <t>Teeth present</t>
        </is>
      </c>
      <c r="AP3" s="7" t="n"/>
      <c r="AQ3" s="7" t="n"/>
      <c r="AR3" s="7" t="n"/>
      <c r="AS3" s="7" t="n"/>
      <c r="AT3" s="7" t="n"/>
      <c r="AU3" s="7" t="n"/>
      <c r="AV3" s="11">
        <f>32-COUNTIF(C54:AX54,"X")-COUNTIF(C56:AX56,"X")</f>
        <v/>
      </c>
      <c r="AW3" s="8" t="n"/>
      <c r="AX3" s="8" t="n"/>
      <c r="AY3" s="1" t="n"/>
    </row>
    <row r="4" ht="20" customHeight="1">
      <c r="A4" s="1" t="n"/>
      <c r="B4" s="1" t="n"/>
      <c r="C4" s="12" t="inlineStr">
        <is>
          <t>LOCAL ETIOLOGIC AND CONTRIBUTING FACTORS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" t="n"/>
    </row>
    <row r="5" ht="19" customHeight="1">
      <c r="A5" s="1" t="n"/>
      <c r="B5" s="1" t="n"/>
      <c r="C5" s="91" t="b">
        <v>0</v>
      </c>
      <c r="D5" s="13" t="inlineStr">
        <is>
          <t>Inadequate oral hygiene</t>
        </is>
      </c>
      <c r="E5" s="13" t="n"/>
      <c r="F5" s="13" t="n"/>
      <c r="G5" s="13" t="n"/>
      <c r="H5" s="13" t="n"/>
      <c r="I5" s="13" t="n"/>
      <c r="J5" s="14" t="n"/>
      <c r="K5" s="14" t="n"/>
      <c r="L5" s="14" t="n"/>
      <c r="M5" s="1" t="n"/>
      <c r="N5" s="1" t="n"/>
      <c r="O5" s="91" t="b">
        <v>0</v>
      </c>
      <c r="P5" s="13" t="inlineStr">
        <is>
          <t>Supragingival calculus</t>
        </is>
      </c>
      <c r="Q5" s="13" t="n"/>
      <c r="R5" s="13" t="n"/>
      <c r="S5" s="13" t="n"/>
      <c r="T5" s="13" t="n"/>
      <c r="U5" s="13" t="n"/>
      <c r="V5" s="14" t="n"/>
      <c r="W5" s="14" t="n"/>
      <c r="X5" s="14" t="n"/>
      <c r="Y5" s="1" t="n"/>
      <c r="Z5" s="1" t="n"/>
      <c r="AA5" s="91" t="b">
        <v>0</v>
      </c>
      <c r="AB5" s="13" t="inlineStr">
        <is>
          <t>Subgingival calculus</t>
        </is>
      </c>
      <c r="AC5" s="13" t="n"/>
      <c r="AD5" s="13" t="n"/>
      <c r="AE5" s="13" t="n"/>
      <c r="AF5" s="13" t="n"/>
      <c r="AG5" s="13" t="n"/>
      <c r="AH5" s="14" t="n"/>
      <c r="AI5" s="14" t="n"/>
      <c r="AJ5" s="14" t="n"/>
      <c r="AK5" s="1" t="n"/>
      <c r="AL5" s="1" t="n"/>
      <c r="AM5" s="91" t="b">
        <v>0</v>
      </c>
      <c r="AN5" s="13" t="inlineStr">
        <is>
          <t>Food impaction</t>
        </is>
      </c>
      <c r="AO5" s="13" t="n"/>
      <c r="AP5" s="13" t="n"/>
      <c r="AQ5" s="13" t="n"/>
      <c r="AR5" s="13" t="n"/>
      <c r="AS5" s="13" t="n"/>
      <c r="AT5" s="14" t="n"/>
      <c r="AU5" s="14" t="n"/>
      <c r="AV5" s="14" t="n"/>
      <c r="AW5" s="1" t="n"/>
      <c r="AX5" s="1" t="n"/>
      <c r="AY5" s="1" t="n"/>
    </row>
    <row r="6" ht="19" customHeight="1">
      <c r="A6" s="1" t="n"/>
      <c r="B6" s="1" t="n"/>
      <c r="C6" s="91" t="b">
        <v>0</v>
      </c>
      <c r="D6" s="13" t="inlineStr">
        <is>
          <t>Related caries</t>
        </is>
      </c>
      <c r="E6" s="13" t="n"/>
      <c r="F6" s="13" t="n"/>
      <c r="G6" s="13" t="n"/>
      <c r="H6" s="13" t="n"/>
      <c r="I6" s="13" t="n"/>
      <c r="J6" s="14" t="n"/>
      <c r="K6" s="14" t="n"/>
      <c r="L6" s="14" t="n"/>
      <c r="M6" s="1" t="n"/>
      <c r="N6" s="1" t="n"/>
      <c r="O6" s="91" t="b">
        <v>0</v>
      </c>
      <c r="P6" s="13" t="inlineStr">
        <is>
          <t>Improper embrasure</t>
        </is>
      </c>
      <c r="Q6" s="13" t="n"/>
      <c r="R6" s="13" t="n"/>
      <c r="S6" s="13" t="n"/>
      <c r="T6" s="13" t="n"/>
      <c r="U6" s="13" t="n"/>
      <c r="V6" s="14" t="n"/>
      <c r="W6" s="14" t="n"/>
      <c r="X6" s="14" t="n"/>
      <c r="Y6" s="1" t="n"/>
      <c r="Z6" s="1" t="n"/>
      <c r="AA6" s="91" t="b">
        <v>0</v>
      </c>
      <c r="AB6" s="13" t="inlineStr">
        <is>
          <t>Malposed tooth</t>
        </is>
      </c>
      <c r="AC6" s="13" t="n"/>
      <c r="AD6" s="13" t="n"/>
      <c r="AE6" s="13" t="n"/>
      <c r="AF6" s="13" t="n"/>
      <c r="AG6" s="13" t="n"/>
      <c r="AH6" s="14" t="n"/>
      <c r="AI6" s="14" t="n"/>
      <c r="AJ6" s="14" t="n"/>
      <c r="AK6" s="1" t="n"/>
      <c r="AL6" s="1" t="n"/>
      <c r="AM6" s="91" t="b">
        <v>0</v>
      </c>
      <c r="AN6" s="13" t="inlineStr">
        <is>
          <t>Anatomical predisposing factor</t>
        </is>
      </c>
      <c r="AO6" s="13" t="n"/>
      <c r="AP6" s="13" t="n"/>
      <c r="AQ6" s="13" t="n"/>
      <c r="AR6" s="13" t="n"/>
      <c r="AS6" s="13" t="n"/>
      <c r="AT6" s="14" t="n"/>
      <c r="AU6" s="14" t="n"/>
      <c r="AV6" s="14" t="n"/>
      <c r="AW6" s="1" t="n"/>
      <c r="AX6" s="1" t="n"/>
      <c r="AY6" s="1" t="n"/>
    </row>
    <row r="7" ht="19" customHeight="1">
      <c r="A7" s="1" t="n"/>
      <c r="B7" s="1" t="n"/>
      <c r="C7" s="91" t="b">
        <v>0</v>
      </c>
      <c r="D7" s="13" t="inlineStr">
        <is>
          <t>Traumatic occlusion</t>
        </is>
      </c>
      <c r="E7" s="13" t="n"/>
      <c r="F7" s="13" t="n"/>
      <c r="G7" s="13" t="n"/>
      <c r="H7" s="13" t="n"/>
      <c r="I7" s="13" t="n"/>
      <c r="J7" s="14" t="n"/>
      <c r="K7" s="14" t="n"/>
      <c r="L7" s="14" t="n"/>
      <c r="M7" s="1" t="n"/>
      <c r="N7" s="1" t="n"/>
      <c r="O7" s="91" t="b">
        <v>0</v>
      </c>
      <c r="P7" s="13" t="inlineStr">
        <is>
          <t>Defective prostheses</t>
        </is>
      </c>
      <c r="Q7" s="13" t="n"/>
      <c r="R7" s="13" t="n"/>
      <c r="S7" s="13" t="n"/>
      <c r="T7" s="13" t="n"/>
      <c r="U7" s="13" t="n"/>
      <c r="V7" s="14" t="n"/>
      <c r="W7" s="14" t="n"/>
      <c r="X7" s="14" t="n"/>
      <c r="Y7" s="1" t="n"/>
      <c r="Z7" s="1" t="n"/>
      <c r="AA7" s="91" t="b">
        <v>0</v>
      </c>
      <c r="AB7" s="13" t="inlineStr">
        <is>
          <t>Defective fillings</t>
        </is>
      </c>
      <c r="AC7" s="13" t="n"/>
      <c r="AD7" s="13" t="n"/>
      <c r="AE7" s="13" t="n"/>
      <c r="AF7" s="13" t="n"/>
      <c r="AG7" s="13" t="n"/>
      <c r="AH7" s="14" t="n"/>
      <c r="AI7" s="14" t="n"/>
      <c r="AJ7" s="14" t="n"/>
      <c r="AK7" s="1" t="n"/>
      <c r="AL7" s="1" t="n"/>
      <c r="AM7" s="91" t="b">
        <v>0</v>
      </c>
      <c r="AN7" s="13" t="inlineStr">
        <is>
          <t>High muscle attachment</t>
        </is>
      </c>
      <c r="AO7" s="13" t="n"/>
      <c r="AP7" s="13" t="n"/>
      <c r="AQ7" s="13" t="n"/>
      <c r="AR7" s="13" t="n"/>
      <c r="AS7" s="13" t="n"/>
      <c r="AT7" s="14" t="n"/>
      <c r="AU7" s="14" t="n"/>
      <c r="AV7" s="14" t="n"/>
      <c r="AW7" s="1" t="n"/>
      <c r="AX7" s="1" t="n"/>
      <c r="AY7" s="1" t="n"/>
    </row>
    <row r="8" ht="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</row>
    <row r="9" ht="18" customHeight="1">
      <c r="A9" s="15" t="inlineStr">
        <is>
          <t>MAXILLA</t>
        </is>
      </c>
      <c r="B9" s="16" t="n"/>
      <c r="C9" s="17" t="n">
        <v>18</v>
      </c>
      <c r="D9" s="18" t="n"/>
      <c r="E9" s="18" t="n"/>
      <c r="F9" s="17" t="n">
        <v>17</v>
      </c>
      <c r="G9" s="18" t="n"/>
      <c r="H9" s="18" t="n"/>
      <c r="I9" s="17" t="n">
        <v>16</v>
      </c>
      <c r="J9" s="18" t="n"/>
      <c r="K9" s="18" t="n"/>
      <c r="L9" s="17" t="n">
        <v>15</v>
      </c>
      <c r="M9" s="18" t="n"/>
      <c r="N9" s="18" t="n"/>
      <c r="O9" s="17" t="n">
        <v>14</v>
      </c>
      <c r="P9" s="18" t="n"/>
      <c r="Q9" s="18" t="n"/>
      <c r="R9" s="17" t="n">
        <v>13</v>
      </c>
      <c r="S9" s="18" t="n"/>
      <c r="T9" s="18" t="n"/>
      <c r="U9" s="17" t="n">
        <v>12</v>
      </c>
      <c r="V9" s="18" t="n"/>
      <c r="W9" s="18" t="n"/>
      <c r="X9" s="17" t="n">
        <v>11</v>
      </c>
      <c r="Y9" s="18" t="n"/>
      <c r="Z9" s="18" t="n"/>
      <c r="AA9" s="19" t="n">
        <v>21</v>
      </c>
      <c r="AB9" s="18" t="n"/>
      <c r="AC9" s="18" t="n"/>
      <c r="AD9" s="17" t="n">
        <v>22</v>
      </c>
      <c r="AE9" s="18" t="n"/>
      <c r="AF9" s="18" t="n"/>
      <c r="AG9" s="17" t="n">
        <v>23</v>
      </c>
      <c r="AH9" s="18" t="n"/>
      <c r="AI9" s="18" t="n"/>
      <c r="AJ9" s="17" t="n">
        <v>24</v>
      </c>
      <c r="AK9" s="18" t="n"/>
      <c r="AL9" s="18" t="n"/>
      <c r="AM9" s="17" t="n">
        <v>25</v>
      </c>
      <c r="AN9" s="18" t="n"/>
      <c r="AO9" s="18" t="n"/>
      <c r="AP9" s="17" t="n">
        <v>26</v>
      </c>
      <c r="AQ9" s="18" t="n"/>
      <c r="AR9" s="18" t="n"/>
      <c r="AS9" s="17" t="n">
        <v>27</v>
      </c>
      <c r="AT9" s="18" t="n"/>
      <c r="AU9" s="18" t="n"/>
      <c r="AV9" s="17" t="n">
        <v>28</v>
      </c>
      <c r="AW9" s="18" t="n"/>
      <c r="AX9" s="18" t="n"/>
      <c r="AY9" s="20" t="n"/>
      <c r="BA9" s="21" t="inlineStr">
        <is>
          <t>SUMMARY</t>
        </is>
      </c>
    </row>
    <row r="10" ht="21" customHeight="1">
      <c r="A10" s="22" t="inlineStr">
        <is>
          <t>BUCCAL</t>
        </is>
      </c>
      <c r="B10" s="23" t="inlineStr">
        <is>
          <t>KG</t>
        </is>
      </c>
      <c r="C10" s="24" t="n"/>
      <c r="D10" s="25" t="n"/>
      <c r="E10" s="25" t="n"/>
      <c r="F10" s="24" t="n"/>
      <c r="G10" s="25" t="n"/>
      <c r="H10" s="25" t="n"/>
      <c r="I10" s="24" t="n"/>
      <c r="J10" s="25" t="n"/>
      <c r="K10" s="25" t="n"/>
      <c r="L10" s="24" t="n"/>
      <c r="M10" s="25" t="n"/>
      <c r="N10" s="25" t="n"/>
      <c r="O10" s="24" t="n"/>
      <c r="P10" s="25" t="n"/>
      <c r="Q10" s="25" t="n"/>
      <c r="R10" s="24" t="n"/>
      <c r="S10" s="25" t="n"/>
      <c r="T10" s="25" t="n"/>
      <c r="U10" s="24" t="n"/>
      <c r="V10" s="25" t="n"/>
      <c r="W10" s="25" t="n"/>
      <c r="X10" s="24" t="n"/>
      <c r="Y10" s="25" t="n"/>
      <c r="Z10" s="25" t="n"/>
      <c r="AA10" s="26" t="n"/>
      <c r="AB10" s="25" t="n"/>
      <c r="AC10" s="25" t="n"/>
      <c r="AD10" s="24" t="n"/>
      <c r="AE10" s="25" t="n"/>
      <c r="AF10" s="25" t="n"/>
      <c r="AG10" s="24" t="n"/>
      <c r="AH10" s="25" t="n"/>
      <c r="AI10" s="25" t="n"/>
      <c r="AJ10" s="24" t="n"/>
      <c r="AK10" s="25" t="n"/>
      <c r="AL10" s="25" t="n"/>
      <c r="AM10" s="24" t="n"/>
      <c r="AN10" s="25" t="n"/>
      <c r="AO10" s="25" t="n"/>
      <c r="AP10" s="24" t="n"/>
      <c r="AQ10" s="25" t="n"/>
      <c r="AR10" s="25" t="n"/>
      <c r="AS10" s="24" t="n"/>
      <c r="AT10" s="25" t="n"/>
      <c r="AU10" s="25" t="n"/>
      <c r="AV10" s="24" t="n"/>
      <c r="AW10" s="25" t="n"/>
      <c r="AX10" s="25" t="n"/>
      <c r="AY10" s="27" t="inlineStr">
        <is>
          <t>KG</t>
        </is>
      </c>
      <c r="BA10" s="28" t="inlineStr">
        <is>
          <t>Teeth present</t>
        </is>
      </c>
      <c r="BB10" s="29">
        <f>AV3</f>
        <v/>
      </c>
    </row>
    <row r="11" ht="21" customHeight="1">
      <c r="A11" s="22" t="n"/>
      <c r="B11" s="23" t="inlineStr">
        <is>
          <t>PLAQUE</t>
        </is>
      </c>
      <c r="C11" s="24" t="n"/>
      <c r="D11" s="25" t="n"/>
      <c r="E11" s="25" t="n"/>
      <c r="F11" s="24" t="n"/>
      <c r="G11" s="25" t="n"/>
      <c r="H11" s="25" t="n"/>
      <c r="I11" s="24" t="n"/>
      <c r="J11" s="25" t="n"/>
      <c r="K11" s="25" t="n"/>
      <c r="L11" s="24" t="n"/>
      <c r="M11" s="25" t="n"/>
      <c r="N11" s="25" t="n"/>
      <c r="O11" s="24" t="n"/>
      <c r="P11" s="25" t="n"/>
      <c r="Q11" s="25" t="n"/>
      <c r="R11" s="24" t="n"/>
      <c r="S11" s="25" t="n"/>
      <c r="T11" s="25" t="n"/>
      <c r="U11" s="24" t="n"/>
      <c r="V11" s="25" t="n"/>
      <c r="W11" s="25" t="n"/>
      <c r="X11" s="24" t="n"/>
      <c r="Y11" s="25" t="n"/>
      <c r="Z11" s="25" t="n"/>
      <c r="AA11" s="26" t="n"/>
      <c r="AB11" s="25" t="n"/>
      <c r="AC11" s="25" t="n"/>
      <c r="AD11" s="24" t="n"/>
      <c r="AE11" s="25" t="n"/>
      <c r="AF11" s="25" t="n"/>
      <c r="AG11" s="24" t="n"/>
      <c r="AH11" s="25" t="n"/>
      <c r="AI11" s="25" t="n"/>
      <c r="AJ11" s="24" t="n"/>
      <c r="AK11" s="25" t="n"/>
      <c r="AL11" s="25" t="n"/>
      <c r="AM11" s="24" t="n"/>
      <c r="AN11" s="25" t="n"/>
      <c r="AO11" s="25" t="n"/>
      <c r="AP11" s="24" t="n"/>
      <c r="AQ11" s="25" t="n"/>
      <c r="AR11" s="25" t="n"/>
      <c r="AS11" s="24" t="n"/>
      <c r="AT11" s="25" t="n"/>
      <c r="AU11" s="25" t="n"/>
      <c r="AV11" s="24" t="n"/>
      <c r="AW11" s="25" t="n"/>
      <c r="AX11" s="25" t="n"/>
      <c r="AY11" s="27" t="inlineStr">
        <is>
          <t>PLAQUE</t>
        </is>
      </c>
      <c r="BA11" s="28" t="inlineStr">
        <is>
          <t>Total sites</t>
        </is>
      </c>
      <c r="BB11" s="29">
        <f>BB10*6</f>
        <v/>
      </c>
    </row>
    <row r="12" ht="21" customHeight="1">
      <c r="A12" s="22" t="n"/>
      <c r="B12" s="23" t="inlineStr">
        <is>
          <t>BOP</t>
        </is>
      </c>
      <c r="C12" s="24" t="n"/>
      <c r="D12" s="25" t="n"/>
      <c r="E12" s="25" t="n"/>
      <c r="F12" s="24" t="n"/>
      <c r="G12" s="25" t="n"/>
      <c r="H12" s="25" t="n"/>
      <c r="I12" s="24" t="n"/>
      <c r="J12" s="25" t="n"/>
      <c r="K12" s="25" t="n"/>
      <c r="L12" s="24" t="n"/>
      <c r="M12" s="25" t="n"/>
      <c r="N12" s="25" t="n"/>
      <c r="O12" s="24" t="n"/>
      <c r="P12" s="25" t="n"/>
      <c r="Q12" s="25" t="n"/>
      <c r="R12" s="24" t="n"/>
      <c r="S12" s="25" t="n"/>
      <c r="T12" s="25" t="n"/>
      <c r="U12" s="24" t="n"/>
      <c r="V12" s="25" t="n"/>
      <c r="W12" s="25" t="n"/>
      <c r="X12" s="24" t="n"/>
      <c r="Y12" s="25" t="n"/>
      <c r="Z12" s="25" t="n"/>
      <c r="AA12" s="26" t="n"/>
      <c r="AB12" s="25" t="n"/>
      <c r="AC12" s="25" t="n"/>
      <c r="AD12" s="24" t="n"/>
      <c r="AE12" s="25" t="n"/>
      <c r="AF12" s="25" t="n"/>
      <c r="AG12" s="24" t="n"/>
      <c r="AH12" s="25" t="n"/>
      <c r="AI12" s="25" t="n"/>
      <c r="AJ12" s="24" t="n"/>
      <c r="AK12" s="25" t="n"/>
      <c r="AL12" s="25" t="n"/>
      <c r="AM12" s="24" t="n"/>
      <c r="AN12" s="25" t="n"/>
      <c r="AO12" s="25" t="n"/>
      <c r="AP12" s="24" t="n"/>
      <c r="AQ12" s="25" t="n"/>
      <c r="AR12" s="25" t="n"/>
      <c r="AS12" s="24" t="n"/>
      <c r="AT12" s="25" t="n"/>
      <c r="AU12" s="25" t="n"/>
      <c r="AV12" s="24" t="n"/>
      <c r="AW12" s="25" t="n"/>
      <c r="AX12" s="25" t="n"/>
      <c r="AY12" s="27" t="inlineStr">
        <is>
          <t>BOP</t>
        </is>
      </c>
      <c r="BA12" s="28" t="inlineStr">
        <is>
          <t>Plaque score</t>
        </is>
      </c>
      <c r="BB12" s="30">
        <f>IF(BB11=0,"",(COUNTIF(C11:AX11,"/")+COUNTIF(C27:AX27,"/")+COUNTIF(C32:AX32,"/")+COUNTIF(C48:AX48,"/"))/BB11)</f>
        <v/>
      </c>
    </row>
    <row r="13" ht="21" customHeight="1">
      <c r="A13" s="22" t="n"/>
      <c r="B13" s="23" t="inlineStr">
        <is>
          <t>CEJ-GM</t>
        </is>
      </c>
      <c r="C13" s="24" t="n"/>
      <c r="D13" s="25" t="n"/>
      <c r="E13" s="25" t="n"/>
      <c r="F13" s="24" t="n"/>
      <c r="G13" s="25" t="n"/>
      <c r="H13" s="25" t="n"/>
      <c r="I13" s="24" t="n"/>
      <c r="J13" s="25" t="n"/>
      <c r="K13" s="25" t="n"/>
      <c r="L13" s="24" t="n"/>
      <c r="M13" s="25" t="n"/>
      <c r="N13" s="25" t="n"/>
      <c r="O13" s="24" t="n"/>
      <c r="P13" s="25" t="n"/>
      <c r="Q13" s="25" t="n"/>
      <c r="R13" s="24" t="n"/>
      <c r="S13" s="25" t="n"/>
      <c r="T13" s="25" t="n"/>
      <c r="U13" s="24" t="n"/>
      <c r="V13" s="25" t="n"/>
      <c r="W13" s="25" t="n"/>
      <c r="X13" s="24" t="n"/>
      <c r="Y13" s="25" t="n"/>
      <c r="Z13" s="25" t="n"/>
      <c r="AA13" s="26" t="n"/>
      <c r="AB13" s="25" t="n"/>
      <c r="AC13" s="25" t="n"/>
      <c r="AD13" s="24" t="n"/>
      <c r="AE13" s="25" t="n"/>
      <c r="AF13" s="25" t="n"/>
      <c r="AG13" s="24" t="n"/>
      <c r="AH13" s="25" t="n"/>
      <c r="AI13" s="25" t="n"/>
      <c r="AJ13" s="24" t="n"/>
      <c r="AK13" s="25" t="n"/>
      <c r="AL13" s="25" t="n"/>
      <c r="AM13" s="24" t="n"/>
      <c r="AN13" s="25" t="n"/>
      <c r="AO13" s="25" t="n"/>
      <c r="AP13" s="24" t="n"/>
      <c r="AQ13" s="25" t="n"/>
      <c r="AR13" s="25" t="n"/>
      <c r="AS13" s="24" t="n"/>
      <c r="AT13" s="25" t="n"/>
      <c r="AU13" s="25" t="n"/>
      <c r="AV13" s="24" t="n"/>
      <c r="AW13" s="25" t="n"/>
      <c r="AX13" s="25" t="n"/>
      <c r="AY13" s="27" t="inlineStr">
        <is>
          <t>CEJ-GM</t>
        </is>
      </c>
      <c r="BA13" s="28" t="inlineStr">
        <is>
          <t>BOP</t>
        </is>
      </c>
      <c r="BB13" s="30">
        <f>IF(BB11=0,"",(COUNTIF(C12:AX12,"+")+COUNTIF(C26:AX26,"+")+COUNTIF(C33:AX33,"+")+COUNTIF(C47:AX47,"+"))/BB11)</f>
        <v/>
      </c>
    </row>
    <row r="14" ht="21" customHeight="1">
      <c r="A14" s="22" t="n"/>
      <c r="B14" s="23" t="inlineStr">
        <is>
          <t>PD</t>
        </is>
      </c>
      <c r="C14" s="31" t="n"/>
      <c r="D14" s="32" t="n"/>
      <c r="E14" s="32" t="n"/>
      <c r="F14" s="31" t="n"/>
      <c r="G14" s="32" t="n"/>
      <c r="H14" s="32" t="n"/>
      <c r="I14" s="31" t="n"/>
      <c r="J14" s="32" t="n"/>
      <c r="K14" s="32" t="n"/>
      <c r="L14" s="31" t="n"/>
      <c r="M14" s="32" t="n"/>
      <c r="N14" s="32" t="n"/>
      <c r="O14" s="31" t="n"/>
      <c r="P14" s="32" t="n"/>
      <c r="Q14" s="32" t="n"/>
      <c r="R14" s="31" t="n"/>
      <c r="S14" s="32" t="n"/>
      <c r="T14" s="32" t="n"/>
      <c r="U14" s="31" t="n"/>
      <c r="V14" s="32" t="n"/>
      <c r="W14" s="32" t="n"/>
      <c r="X14" s="31" t="n"/>
      <c r="Y14" s="32" t="n"/>
      <c r="Z14" s="32" t="n"/>
      <c r="AA14" s="33" t="n"/>
      <c r="AB14" s="32" t="n"/>
      <c r="AC14" s="32" t="n"/>
      <c r="AD14" s="31" t="n"/>
      <c r="AE14" s="32" t="n"/>
      <c r="AF14" s="32" t="n"/>
      <c r="AG14" s="31" t="n"/>
      <c r="AH14" s="32" t="n"/>
      <c r="AI14" s="32" t="n"/>
      <c r="AJ14" s="31" t="n"/>
      <c r="AK14" s="32" t="n"/>
      <c r="AL14" s="32" t="n"/>
      <c r="AM14" s="31" t="n"/>
      <c r="AN14" s="32" t="n"/>
      <c r="AO14" s="32" t="n"/>
      <c r="AP14" s="31" t="n"/>
      <c r="AQ14" s="32" t="n"/>
      <c r="AR14" s="32" t="n"/>
      <c r="AS14" s="31" t="n"/>
      <c r="AT14" s="32" t="n"/>
      <c r="AU14" s="32" t="n"/>
      <c r="AV14" s="31" t="n"/>
      <c r="AW14" s="32" t="n"/>
      <c r="AX14" s="32" t="n"/>
      <c r="AY14" s="27" t="inlineStr">
        <is>
          <t>PD</t>
        </is>
      </c>
    </row>
    <row r="15" ht="19" customHeight="1">
      <c r="A15" s="34" t="n"/>
      <c r="B15" s="35" t="inlineStr">
        <is>
          <t>CAL</t>
        </is>
      </c>
      <c r="C15" s="36">
        <f>IF(C14="","",C14+N(C13))</f>
        <v/>
      </c>
      <c r="D15" s="37">
        <f>IF(D14="","",D14+N(D13))</f>
        <v/>
      </c>
      <c r="E15" s="37">
        <f>IF(E14="","",E14+N(E13))</f>
        <v/>
      </c>
      <c r="F15" s="36">
        <f>IF(F14="","",F14+N(F13))</f>
        <v/>
      </c>
      <c r="G15" s="37">
        <f>IF(G14="","",G14+N(G13))</f>
        <v/>
      </c>
      <c r="H15" s="37">
        <f>IF(H14="","",H14+N(H13))</f>
        <v/>
      </c>
      <c r="I15" s="36">
        <f>IF(I14="","",I14+N(I13))</f>
        <v/>
      </c>
      <c r="J15" s="37">
        <f>IF(J14="","",J14+N(J13))</f>
        <v/>
      </c>
      <c r="K15" s="37">
        <f>IF(K14="","",K14+N(K13))</f>
        <v/>
      </c>
      <c r="L15" s="36">
        <f>IF(L14="","",L14+N(L13))</f>
        <v/>
      </c>
      <c r="M15" s="37">
        <f>IF(M14="","",M14+N(M13))</f>
        <v/>
      </c>
      <c r="N15" s="37">
        <f>IF(N14="","",N14+N(N13))</f>
        <v/>
      </c>
      <c r="O15" s="36">
        <f>IF(O14="","",O14+N(O13))</f>
        <v/>
      </c>
      <c r="P15" s="37">
        <f>IF(P14="","",P14+N(P13))</f>
        <v/>
      </c>
      <c r="Q15" s="37">
        <f>IF(Q14="","",Q14+N(Q13))</f>
        <v/>
      </c>
      <c r="R15" s="36">
        <f>IF(R14="","",R14+N(R13))</f>
        <v/>
      </c>
      <c r="S15" s="37">
        <f>IF(S14="","",S14+N(S13))</f>
        <v/>
      </c>
      <c r="T15" s="37">
        <f>IF(T14="","",T14+N(T13))</f>
        <v/>
      </c>
      <c r="U15" s="36">
        <f>IF(U14="","",U14+N(U13))</f>
        <v/>
      </c>
      <c r="V15" s="37">
        <f>IF(V14="","",V14+N(V13))</f>
        <v/>
      </c>
      <c r="W15" s="37">
        <f>IF(W14="","",W14+N(W13))</f>
        <v/>
      </c>
      <c r="X15" s="36">
        <f>IF(X14="","",X14+N(X13))</f>
        <v/>
      </c>
      <c r="Y15" s="37">
        <f>IF(Y14="","",Y14+N(Y13))</f>
        <v/>
      </c>
      <c r="Z15" s="37">
        <f>IF(Z14="","",Z14+N(Z13))</f>
        <v/>
      </c>
      <c r="AA15" s="38">
        <f>IF(AA14="","",AA14+N(AA13))</f>
        <v/>
      </c>
      <c r="AB15" s="37">
        <f>IF(AB14="","",AB14+N(AB13))</f>
        <v/>
      </c>
      <c r="AC15" s="37">
        <f>IF(AC14="","",AC14+N(AC13))</f>
        <v/>
      </c>
      <c r="AD15" s="36">
        <f>IF(AD14="","",AD14+N(AD13))</f>
        <v/>
      </c>
      <c r="AE15" s="37">
        <f>IF(AE14="","",AE14+N(AE13))</f>
        <v/>
      </c>
      <c r="AF15" s="37">
        <f>IF(AF14="","",AF14+N(AF13))</f>
        <v/>
      </c>
      <c r="AG15" s="36">
        <f>IF(AG14="","",AG14+N(AG13))</f>
        <v/>
      </c>
      <c r="AH15" s="37">
        <f>IF(AH14="","",AH14+N(AH13))</f>
        <v/>
      </c>
      <c r="AI15" s="37">
        <f>IF(AI14="","",AI14+N(AI13))</f>
        <v/>
      </c>
      <c r="AJ15" s="36">
        <f>IF(AJ14="","",AJ14+N(AJ13))</f>
        <v/>
      </c>
      <c r="AK15" s="37">
        <f>IF(AK14="","",AK14+N(AK13))</f>
        <v/>
      </c>
      <c r="AL15" s="37">
        <f>IF(AL14="","",AL14+N(AL13))</f>
        <v/>
      </c>
      <c r="AM15" s="36">
        <f>IF(AM14="","",AM14+N(AM13))</f>
        <v/>
      </c>
      <c r="AN15" s="37">
        <f>IF(AN14="","",AN14+N(AN13))</f>
        <v/>
      </c>
      <c r="AO15" s="37">
        <f>IF(AO14="","",AO14+N(AO13))</f>
        <v/>
      </c>
      <c r="AP15" s="36">
        <f>IF(AP14="","",AP14+N(AP13))</f>
        <v/>
      </c>
      <c r="AQ15" s="37">
        <f>IF(AQ14="","",AQ14+N(AQ13))</f>
        <v/>
      </c>
      <c r="AR15" s="37">
        <f>IF(AR14="","",AR14+N(AR13))</f>
        <v/>
      </c>
      <c r="AS15" s="36">
        <f>IF(AS14="","",AS14+N(AS13))</f>
        <v/>
      </c>
      <c r="AT15" s="37">
        <f>IF(AT14="","",AT14+N(AT13))</f>
        <v/>
      </c>
      <c r="AU15" s="37">
        <f>IF(AU14="","",AU14+N(AU13))</f>
        <v/>
      </c>
      <c r="AV15" s="36">
        <f>IF(AV14="","",AV14+N(AV13))</f>
        <v/>
      </c>
      <c r="AW15" s="37">
        <f>IF(AW14="","",AW14+N(AW13))</f>
        <v/>
      </c>
      <c r="AX15" s="37">
        <f>IF(AX14="","",AX14+N(AX13))</f>
        <v/>
      </c>
      <c r="AY15" s="39" t="inlineStr">
        <is>
          <t>CAL</t>
        </is>
      </c>
      <c r="BA15" s="21" t="inlineStr">
        <is>
          <t>PD (sites)</t>
        </is>
      </c>
      <c r="BB15" s="40" t="inlineStr">
        <is>
          <t>Sites</t>
        </is>
      </c>
      <c r="BC15" s="40" t="inlineStr">
        <is>
          <t>%</t>
        </is>
      </c>
    </row>
    <row r="16" ht="18.89" customHeight="1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3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4" t="n"/>
      <c r="BA16" s="28" t="inlineStr">
        <is>
          <t>1-3 mm</t>
        </is>
      </c>
      <c r="BB16" s="45">
        <f>COUNTIFS(C14:AX14,"&gt;=1",C14:AX14,"&lt;=3")+COUNTIFS(C24:AX24,"&gt;=1",C24:AX24,"&lt;=3")+COUNTIFS(C35:AX35,"&gt;=1",C35:AX35,"&lt;=3")+COUNTIFS(C45:AX45,"&gt;=1",C45:AX45,"&lt;=3")</f>
        <v/>
      </c>
      <c r="BC16" s="46">
        <f>IF($BB$11=0,"",BB16/$BB$11)</f>
        <v/>
      </c>
    </row>
    <row r="17" ht="18.89" customHeight="1">
      <c r="A17" s="47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9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50" t="n"/>
      <c r="BA17" s="28" t="inlineStr">
        <is>
          <t>4-6 mm</t>
        </is>
      </c>
      <c r="BB17" s="45">
        <f>COUNTIFS(C14:AX14,"&gt;=4",C14:AX14,"&lt;=6")+COUNTIFS(C24:AX24,"&gt;=4",C24:AX24,"&lt;=6")+COUNTIFS(C35:AX35,"&gt;=4",C35:AX35,"&lt;=6")+COUNTIFS(C45:AX45,"&gt;=4",C45:AX45,"&lt;=6")</f>
        <v/>
      </c>
      <c r="BC17" s="46">
        <f>IF($BB$11=0,"",BB17/$BB$11)</f>
        <v/>
      </c>
    </row>
    <row r="18" ht="18.89" customHeight="1">
      <c r="A18" s="47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9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  <c r="AY18" s="50" t="n"/>
      <c r="BA18" s="28" t="inlineStr">
        <is>
          <t>7 mm or more</t>
        </is>
      </c>
      <c r="BB18" s="45">
        <f>COUNTIF(C14:AX14,"&gt;=7")+COUNTIF(C24:AX24,"&gt;=7")+COUNTIF(C35:AX35,"&gt;=7")+COUNTIF(C45:AX45,"&gt;=7")</f>
        <v/>
      </c>
      <c r="BC18" s="46">
        <f>IF($BB$11=0,"",BB18/$BB$11)</f>
        <v/>
      </c>
    </row>
    <row r="19" ht="18.89" customHeight="1">
      <c r="A19" s="47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9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  <c r="AY19" s="50" t="n"/>
    </row>
    <row r="20" ht="18.89" customHeight="1">
      <c r="A20" s="47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9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  <c r="AY20" s="50" t="n"/>
      <c r="BA20" s="21" t="inlineStr">
        <is>
          <t>CAL (sites)</t>
        </is>
      </c>
      <c r="BB20" s="40" t="inlineStr">
        <is>
          <t>Sites</t>
        </is>
      </c>
      <c r="BC20" s="40" t="inlineStr">
        <is>
          <t>%</t>
        </is>
      </c>
    </row>
    <row r="21" ht="18.89" customHeight="1">
      <c r="A21" s="47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9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  <c r="AY21" s="50" t="n"/>
      <c r="BA21" s="28" t="inlineStr">
        <is>
          <t>1-2 mm</t>
        </is>
      </c>
      <c r="BB21" s="45">
        <f>COUNTIFS(C15:AX15,"&gt;=1",C15:AX15,"&lt;=2")+COUNTIFS(C23:AX23,"&gt;=1",C23:AX23,"&lt;=2")+COUNTIFS(C36:AX36,"&gt;=1",C36:AX36,"&lt;=2")+COUNTIFS(C44:AX44,"&gt;=1",C44:AX44,"&lt;=2")</f>
        <v/>
      </c>
      <c r="BC21" s="46">
        <f>IF($BB$11=0,"",BB21/$BB$11)</f>
        <v/>
      </c>
    </row>
    <row r="22" ht="18.89" customHeight="1">
      <c r="A22" s="51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3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4" t="n"/>
      <c r="BA22" s="28" t="inlineStr">
        <is>
          <t>3-4 mm</t>
        </is>
      </c>
      <c r="BB22" s="45">
        <f>COUNTIFS(C15:AX15,"&gt;=3",C15:AX15,"&lt;=4")+COUNTIFS(C23:AX23,"&gt;=3",C23:AX23,"&lt;=4")+COUNTIFS(C36:AX36,"&gt;=3",C36:AX36,"&lt;=4")+COUNTIFS(C44:AX44,"&gt;=3",C44:AX44,"&lt;=4")</f>
        <v/>
      </c>
      <c r="BC22" s="46">
        <f>IF($BB$11=0,"",BB22/$BB$11)</f>
        <v/>
      </c>
    </row>
    <row r="23" ht="19" customHeight="1">
      <c r="A23" s="55" t="inlineStr">
        <is>
          <t>PALATAL</t>
        </is>
      </c>
      <c r="B23" s="56" t="inlineStr">
        <is>
          <t>CAL</t>
        </is>
      </c>
      <c r="C23" s="57">
        <f>IF(C24="","",C24+N(C25))</f>
        <v/>
      </c>
      <c r="D23" s="58">
        <f>IF(D24="","",D24+N(D25))</f>
        <v/>
      </c>
      <c r="E23" s="58">
        <f>IF(E24="","",E24+N(E25))</f>
        <v/>
      </c>
      <c r="F23" s="57">
        <f>IF(F24="","",F24+N(F25))</f>
        <v/>
      </c>
      <c r="G23" s="58">
        <f>IF(G24="","",G24+N(G25))</f>
        <v/>
      </c>
      <c r="H23" s="58">
        <f>IF(H24="","",H24+N(H25))</f>
        <v/>
      </c>
      <c r="I23" s="57">
        <f>IF(I24="","",I24+N(I25))</f>
        <v/>
      </c>
      <c r="J23" s="58">
        <f>IF(J24="","",J24+N(J25))</f>
        <v/>
      </c>
      <c r="K23" s="58">
        <f>IF(K24="","",K24+N(K25))</f>
        <v/>
      </c>
      <c r="L23" s="57">
        <f>IF(L24="","",L24+N(L25))</f>
        <v/>
      </c>
      <c r="M23" s="58">
        <f>IF(M24="","",M24+N(M25))</f>
        <v/>
      </c>
      <c r="N23" s="58">
        <f>IF(N24="","",N24+N(N25))</f>
        <v/>
      </c>
      <c r="O23" s="57">
        <f>IF(O24="","",O24+N(O25))</f>
        <v/>
      </c>
      <c r="P23" s="58">
        <f>IF(P24="","",P24+N(P25))</f>
        <v/>
      </c>
      <c r="Q23" s="58">
        <f>IF(Q24="","",Q24+N(Q25))</f>
        <v/>
      </c>
      <c r="R23" s="57">
        <f>IF(R24="","",R24+N(R25))</f>
        <v/>
      </c>
      <c r="S23" s="58">
        <f>IF(S24="","",S24+N(S25))</f>
        <v/>
      </c>
      <c r="T23" s="58">
        <f>IF(T24="","",T24+N(T25))</f>
        <v/>
      </c>
      <c r="U23" s="57">
        <f>IF(U24="","",U24+N(U25))</f>
        <v/>
      </c>
      <c r="V23" s="58">
        <f>IF(V24="","",V24+N(V25))</f>
        <v/>
      </c>
      <c r="W23" s="58">
        <f>IF(W24="","",W24+N(W25))</f>
        <v/>
      </c>
      <c r="X23" s="57">
        <f>IF(X24="","",X24+N(X25))</f>
        <v/>
      </c>
      <c r="Y23" s="58">
        <f>IF(Y24="","",Y24+N(Y25))</f>
        <v/>
      </c>
      <c r="Z23" s="58">
        <f>IF(Z24="","",Z24+N(Z25))</f>
        <v/>
      </c>
      <c r="AA23" s="59">
        <f>IF(AA24="","",AA24+N(AA25))</f>
        <v/>
      </c>
      <c r="AB23" s="58">
        <f>IF(AB24="","",AB24+N(AB25))</f>
        <v/>
      </c>
      <c r="AC23" s="58">
        <f>IF(AC24="","",AC24+N(AC25))</f>
        <v/>
      </c>
      <c r="AD23" s="57">
        <f>IF(AD24="","",AD24+N(AD25))</f>
        <v/>
      </c>
      <c r="AE23" s="58">
        <f>IF(AE24="","",AE24+N(AE25))</f>
        <v/>
      </c>
      <c r="AF23" s="58">
        <f>IF(AF24="","",AF24+N(AF25))</f>
        <v/>
      </c>
      <c r="AG23" s="57">
        <f>IF(AG24="","",AG24+N(AG25))</f>
        <v/>
      </c>
      <c r="AH23" s="58">
        <f>IF(AH24="","",AH24+N(AH25))</f>
        <v/>
      </c>
      <c r="AI23" s="58">
        <f>IF(AI24="","",AI24+N(AI25))</f>
        <v/>
      </c>
      <c r="AJ23" s="57">
        <f>IF(AJ24="","",AJ24+N(AJ25))</f>
        <v/>
      </c>
      <c r="AK23" s="58">
        <f>IF(AK24="","",AK24+N(AK25))</f>
        <v/>
      </c>
      <c r="AL23" s="58">
        <f>IF(AL24="","",AL24+N(AL25))</f>
        <v/>
      </c>
      <c r="AM23" s="57">
        <f>IF(AM24="","",AM24+N(AM25))</f>
        <v/>
      </c>
      <c r="AN23" s="58">
        <f>IF(AN24="","",AN24+N(AN25))</f>
        <v/>
      </c>
      <c r="AO23" s="58">
        <f>IF(AO24="","",AO24+N(AO25))</f>
        <v/>
      </c>
      <c r="AP23" s="57">
        <f>IF(AP24="","",AP24+N(AP25))</f>
        <v/>
      </c>
      <c r="AQ23" s="58">
        <f>IF(AQ24="","",AQ24+N(AQ25))</f>
        <v/>
      </c>
      <c r="AR23" s="58">
        <f>IF(AR24="","",AR24+N(AR25))</f>
        <v/>
      </c>
      <c r="AS23" s="57">
        <f>IF(AS24="","",AS24+N(AS25))</f>
        <v/>
      </c>
      <c r="AT23" s="58">
        <f>IF(AT24="","",AT24+N(AT25))</f>
        <v/>
      </c>
      <c r="AU23" s="58">
        <f>IF(AU24="","",AU24+N(AU25))</f>
        <v/>
      </c>
      <c r="AV23" s="57">
        <f>IF(AV24="","",AV24+N(AV25))</f>
        <v/>
      </c>
      <c r="AW23" s="58">
        <f>IF(AW24="","",AW24+N(AW25))</f>
        <v/>
      </c>
      <c r="AX23" s="58">
        <f>IF(AX24="","",AX24+N(AX25))</f>
        <v/>
      </c>
      <c r="AY23" s="60" t="inlineStr">
        <is>
          <t>CAL</t>
        </is>
      </c>
      <c r="BA23" s="28" t="inlineStr">
        <is>
          <t>5 mm or more</t>
        </is>
      </c>
      <c r="BB23" s="45">
        <f>COUNTIF(C15:AX15,"&gt;=5")+COUNTIF(C23:AX23,"&gt;=5")+COUNTIF(C36:AX36,"&gt;=5")+COUNTIF(C44:AX44,"&gt;=5")</f>
        <v/>
      </c>
      <c r="BC23" s="46">
        <f>IF($BB$11=0,"",BB23/$BB$11)</f>
        <v/>
      </c>
    </row>
    <row r="24" ht="21" customHeight="1">
      <c r="A24" s="22" t="n"/>
      <c r="B24" s="23" t="inlineStr">
        <is>
          <t>PD</t>
        </is>
      </c>
      <c r="C24" s="31" t="n"/>
      <c r="D24" s="32" t="n"/>
      <c r="E24" s="32" t="n"/>
      <c r="F24" s="31" t="n"/>
      <c r="G24" s="32" t="n"/>
      <c r="H24" s="32" t="n"/>
      <c r="I24" s="31" t="n"/>
      <c r="J24" s="32" t="n"/>
      <c r="K24" s="32" t="n"/>
      <c r="L24" s="31" t="n"/>
      <c r="M24" s="32" t="n"/>
      <c r="N24" s="32" t="n"/>
      <c r="O24" s="31" t="n"/>
      <c r="P24" s="32" t="n"/>
      <c r="Q24" s="32" t="n"/>
      <c r="R24" s="31" t="n"/>
      <c r="S24" s="32" t="n"/>
      <c r="T24" s="32" t="n"/>
      <c r="U24" s="31" t="n"/>
      <c r="V24" s="32" t="n"/>
      <c r="W24" s="32" t="n"/>
      <c r="X24" s="31" t="n"/>
      <c r="Y24" s="32" t="n"/>
      <c r="Z24" s="32" t="n"/>
      <c r="AA24" s="33" t="n"/>
      <c r="AB24" s="32" t="n"/>
      <c r="AC24" s="32" t="n"/>
      <c r="AD24" s="31" t="n"/>
      <c r="AE24" s="32" t="n"/>
      <c r="AF24" s="32" t="n"/>
      <c r="AG24" s="31" t="n"/>
      <c r="AH24" s="32" t="n"/>
      <c r="AI24" s="32" t="n"/>
      <c r="AJ24" s="31" t="n"/>
      <c r="AK24" s="32" t="n"/>
      <c r="AL24" s="32" t="n"/>
      <c r="AM24" s="31" t="n"/>
      <c r="AN24" s="32" t="n"/>
      <c r="AO24" s="32" t="n"/>
      <c r="AP24" s="31" t="n"/>
      <c r="AQ24" s="32" t="n"/>
      <c r="AR24" s="32" t="n"/>
      <c r="AS24" s="31" t="n"/>
      <c r="AT24" s="32" t="n"/>
      <c r="AU24" s="32" t="n"/>
      <c r="AV24" s="31" t="n"/>
      <c r="AW24" s="32" t="n"/>
      <c r="AX24" s="32" t="n"/>
      <c r="AY24" s="27" t="inlineStr">
        <is>
          <t>PD</t>
        </is>
      </c>
    </row>
    <row r="25" ht="21" customHeight="1">
      <c r="A25" s="22" t="n"/>
      <c r="B25" s="23" t="inlineStr">
        <is>
          <t>CEJ-GM</t>
        </is>
      </c>
      <c r="C25" s="24" t="n"/>
      <c r="D25" s="25" t="n"/>
      <c r="E25" s="25" t="n"/>
      <c r="F25" s="24" t="n"/>
      <c r="G25" s="25" t="n"/>
      <c r="H25" s="25" t="n"/>
      <c r="I25" s="24" t="n"/>
      <c r="J25" s="25" t="n"/>
      <c r="K25" s="25" t="n"/>
      <c r="L25" s="24" t="n"/>
      <c r="M25" s="25" t="n"/>
      <c r="N25" s="25" t="n"/>
      <c r="O25" s="24" t="n"/>
      <c r="P25" s="25" t="n"/>
      <c r="Q25" s="25" t="n"/>
      <c r="R25" s="24" t="n"/>
      <c r="S25" s="25" t="n"/>
      <c r="T25" s="25" t="n"/>
      <c r="U25" s="24" t="n"/>
      <c r="V25" s="25" t="n"/>
      <c r="W25" s="25" t="n"/>
      <c r="X25" s="24" t="n"/>
      <c r="Y25" s="25" t="n"/>
      <c r="Z25" s="25" t="n"/>
      <c r="AA25" s="26" t="n"/>
      <c r="AB25" s="25" t="n"/>
      <c r="AC25" s="25" t="n"/>
      <c r="AD25" s="24" t="n"/>
      <c r="AE25" s="25" t="n"/>
      <c r="AF25" s="25" t="n"/>
      <c r="AG25" s="24" t="n"/>
      <c r="AH25" s="25" t="n"/>
      <c r="AI25" s="25" t="n"/>
      <c r="AJ25" s="24" t="n"/>
      <c r="AK25" s="25" t="n"/>
      <c r="AL25" s="25" t="n"/>
      <c r="AM25" s="24" t="n"/>
      <c r="AN25" s="25" t="n"/>
      <c r="AO25" s="25" t="n"/>
      <c r="AP25" s="24" t="n"/>
      <c r="AQ25" s="25" t="n"/>
      <c r="AR25" s="25" t="n"/>
      <c r="AS25" s="24" t="n"/>
      <c r="AT25" s="25" t="n"/>
      <c r="AU25" s="25" t="n"/>
      <c r="AV25" s="24" t="n"/>
      <c r="AW25" s="25" t="n"/>
      <c r="AX25" s="25" t="n"/>
      <c r="AY25" s="27" t="inlineStr">
        <is>
          <t>CEJ-GM</t>
        </is>
      </c>
    </row>
    <row r="26" ht="21" customHeight="1">
      <c r="A26" s="22" t="n"/>
      <c r="B26" s="23" t="inlineStr">
        <is>
          <t>BOP</t>
        </is>
      </c>
      <c r="C26" s="24" t="n"/>
      <c r="D26" s="25" t="n"/>
      <c r="E26" s="25" t="n"/>
      <c r="F26" s="24" t="n"/>
      <c r="G26" s="25" t="n"/>
      <c r="H26" s="25" t="n"/>
      <c r="I26" s="24" t="n"/>
      <c r="J26" s="25" t="n"/>
      <c r="K26" s="25" t="n"/>
      <c r="L26" s="24" t="n"/>
      <c r="M26" s="25" t="n"/>
      <c r="N26" s="25" t="n"/>
      <c r="O26" s="24" t="n"/>
      <c r="P26" s="25" t="n"/>
      <c r="Q26" s="25" t="n"/>
      <c r="R26" s="24" t="n"/>
      <c r="S26" s="25" t="n"/>
      <c r="T26" s="25" t="n"/>
      <c r="U26" s="24" t="n"/>
      <c r="V26" s="25" t="n"/>
      <c r="W26" s="25" t="n"/>
      <c r="X26" s="24" t="n"/>
      <c r="Y26" s="25" t="n"/>
      <c r="Z26" s="25" t="n"/>
      <c r="AA26" s="26" t="n"/>
      <c r="AB26" s="25" t="n"/>
      <c r="AC26" s="25" t="n"/>
      <c r="AD26" s="24" t="n"/>
      <c r="AE26" s="25" t="n"/>
      <c r="AF26" s="25" t="n"/>
      <c r="AG26" s="24" t="n"/>
      <c r="AH26" s="25" t="n"/>
      <c r="AI26" s="25" t="n"/>
      <c r="AJ26" s="24" t="n"/>
      <c r="AK26" s="25" t="n"/>
      <c r="AL26" s="25" t="n"/>
      <c r="AM26" s="24" t="n"/>
      <c r="AN26" s="25" t="n"/>
      <c r="AO26" s="25" t="n"/>
      <c r="AP26" s="24" t="n"/>
      <c r="AQ26" s="25" t="n"/>
      <c r="AR26" s="25" t="n"/>
      <c r="AS26" s="24" t="n"/>
      <c r="AT26" s="25" t="n"/>
      <c r="AU26" s="25" t="n"/>
      <c r="AV26" s="24" t="n"/>
      <c r="AW26" s="25" t="n"/>
      <c r="AX26" s="25" t="n"/>
      <c r="AY26" s="27" t="inlineStr">
        <is>
          <t>BOP</t>
        </is>
      </c>
    </row>
    <row r="27" ht="21" customHeight="1">
      <c r="A27" s="22" t="n"/>
      <c r="B27" s="23" t="inlineStr">
        <is>
          <t>PLAQUE</t>
        </is>
      </c>
      <c r="C27" s="24" t="n"/>
      <c r="D27" s="25" t="n"/>
      <c r="E27" s="25" t="n"/>
      <c r="F27" s="24" t="n"/>
      <c r="G27" s="25" t="n"/>
      <c r="H27" s="25" t="n"/>
      <c r="I27" s="24" t="n"/>
      <c r="J27" s="25" t="n"/>
      <c r="K27" s="25" t="n"/>
      <c r="L27" s="24" t="n"/>
      <c r="M27" s="25" t="n"/>
      <c r="N27" s="25" t="n"/>
      <c r="O27" s="24" t="n"/>
      <c r="P27" s="25" t="n"/>
      <c r="Q27" s="25" t="n"/>
      <c r="R27" s="24" t="n"/>
      <c r="S27" s="25" t="n"/>
      <c r="T27" s="25" t="n"/>
      <c r="U27" s="24" t="n"/>
      <c r="V27" s="25" t="n"/>
      <c r="W27" s="25" t="n"/>
      <c r="X27" s="24" t="n"/>
      <c r="Y27" s="25" t="n"/>
      <c r="Z27" s="25" t="n"/>
      <c r="AA27" s="26" t="n"/>
      <c r="AB27" s="25" t="n"/>
      <c r="AC27" s="25" t="n"/>
      <c r="AD27" s="24" t="n"/>
      <c r="AE27" s="25" t="n"/>
      <c r="AF27" s="25" t="n"/>
      <c r="AG27" s="24" t="n"/>
      <c r="AH27" s="25" t="n"/>
      <c r="AI27" s="25" t="n"/>
      <c r="AJ27" s="24" t="n"/>
      <c r="AK27" s="25" t="n"/>
      <c r="AL27" s="25" t="n"/>
      <c r="AM27" s="24" t="n"/>
      <c r="AN27" s="25" t="n"/>
      <c r="AO27" s="25" t="n"/>
      <c r="AP27" s="24" t="n"/>
      <c r="AQ27" s="25" t="n"/>
      <c r="AR27" s="25" t="n"/>
      <c r="AS27" s="24" t="n"/>
      <c r="AT27" s="25" t="n"/>
      <c r="AU27" s="25" t="n"/>
      <c r="AV27" s="24" t="n"/>
      <c r="AW27" s="25" t="n"/>
      <c r="AX27" s="25" t="n"/>
      <c r="AY27" s="27" t="inlineStr">
        <is>
          <t>PLAQUE</t>
        </is>
      </c>
    </row>
    <row r="28" ht="18" customHeight="1">
      <c r="A28" s="61" t="inlineStr">
        <is>
          <t>MAXILLA</t>
        </is>
      </c>
      <c r="B28" s="62" t="n"/>
      <c r="C28" s="63" t="n">
        <v>18</v>
      </c>
      <c r="D28" s="64" t="n"/>
      <c r="E28" s="64" t="n"/>
      <c r="F28" s="63" t="n">
        <v>17</v>
      </c>
      <c r="G28" s="64" t="n"/>
      <c r="H28" s="64" t="n"/>
      <c r="I28" s="63" t="n">
        <v>16</v>
      </c>
      <c r="J28" s="64" t="n"/>
      <c r="K28" s="64" t="n"/>
      <c r="L28" s="63" t="n">
        <v>15</v>
      </c>
      <c r="M28" s="64" t="n"/>
      <c r="N28" s="64" t="n"/>
      <c r="O28" s="63" t="n">
        <v>14</v>
      </c>
      <c r="P28" s="64" t="n"/>
      <c r="Q28" s="64" t="n"/>
      <c r="R28" s="63" t="n">
        <v>13</v>
      </c>
      <c r="S28" s="64" t="n"/>
      <c r="T28" s="64" t="n"/>
      <c r="U28" s="63" t="n">
        <v>12</v>
      </c>
      <c r="V28" s="64" t="n"/>
      <c r="W28" s="64" t="n"/>
      <c r="X28" s="63" t="n">
        <v>11</v>
      </c>
      <c r="Y28" s="64" t="n"/>
      <c r="Z28" s="64" t="n"/>
      <c r="AA28" s="65" t="n">
        <v>21</v>
      </c>
      <c r="AB28" s="64" t="n"/>
      <c r="AC28" s="64" t="n"/>
      <c r="AD28" s="63" t="n">
        <v>22</v>
      </c>
      <c r="AE28" s="64" t="n"/>
      <c r="AF28" s="64" t="n"/>
      <c r="AG28" s="63" t="n">
        <v>23</v>
      </c>
      <c r="AH28" s="64" t="n"/>
      <c r="AI28" s="64" t="n"/>
      <c r="AJ28" s="63" t="n">
        <v>24</v>
      </c>
      <c r="AK28" s="64" t="n"/>
      <c r="AL28" s="64" t="n"/>
      <c r="AM28" s="63" t="n">
        <v>25</v>
      </c>
      <c r="AN28" s="64" t="n"/>
      <c r="AO28" s="64" t="n"/>
      <c r="AP28" s="63" t="n">
        <v>26</v>
      </c>
      <c r="AQ28" s="64" t="n"/>
      <c r="AR28" s="64" t="n"/>
      <c r="AS28" s="63" t="n">
        <v>27</v>
      </c>
      <c r="AT28" s="64" t="n"/>
      <c r="AU28" s="64" t="n"/>
      <c r="AV28" s="63" t="n">
        <v>28</v>
      </c>
      <c r="AW28" s="64" t="n"/>
      <c r="AX28" s="64" t="n"/>
      <c r="AY28" s="66" t="n"/>
    </row>
    <row r="29" ht="7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</row>
    <row r="30" ht="7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</row>
    <row r="31" ht="18" customHeight="1">
      <c r="A31" s="15" t="inlineStr">
        <is>
          <t>MANDIBLE</t>
        </is>
      </c>
      <c r="B31" s="16" t="n"/>
      <c r="C31" s="17" t="n">
        <v>48</v>
      </c>
      <c r="D31" s="18" t="n"/>
      <c r="E31" s="18" t="n"/>
      <c r="F31" s="17" t="n">
        <v>47</v>
      </c>
      <c r="G31" s="18" t="n"/>
      <c r="H31" s="18" t="n"/>
      <c r="I31" s="17" t="n">
        <v>46</v>
      </c>
      <c r="J31" s="18" t="n"/>
      <c r="K31" s="18" t="n"/>
      <c r="L31" s="17" t="n">
        <v>45</v>
      </c>
      <c r="M31" s="18" t="n"/>
      <c r="N31" s="18" t="n"/>
      <c r="O31" s="17" t="n">
        <v>44</v>
      </c>
      <c r="P31" s="18" t="n"/>
      <c r="Q31" s="18" t="n"/>
      <c r="R31" s="17" t="n">
        <v>43</v>
      </c>
      <c r="S31" s="18" t="n"/>
      <c r="T31" s="18" t="n"/>
      <c r="U31" s="17" t="n">
        <v>42</v>
      </c>
      <c r="V31" s="18" t="n"/>
      <c r="W31" s="18" t="n"/>
      <c r="X31" s="17" t="n">
        <v>41</v>
      </c>
      <c r="Y31" s="18" t="n"/>
      <c r="Z31" s="18" t="n"/>
      <c r="AA31" s="19" t="n">
        <v>31</v>
      </c>
      <c r="AB31" s="18" t="n"/>
      <c r="AC31" s="18" t="n"/>
      <c r="AD31" s="17" t="n">
        <v>32</v>
      </c>
      <c r="AE31" s="18" t="n"/>
      <c r="AF31" s="18" t="n"/>
      <c r="AG31" s="17" t="n">
        <v>33</v>
      </c>
      <c r="AH31" s="18" t="n"/>
      <c r="AI31" s="18" t="n"/>
      <c r="AJ31" s="17" t="n">
        <v>34</v>
      </c>
      <c r="AK31" s="18" t="n"/>
      <c r="AL31" s="18" t="n"/>
      <c r="AM31" s="17" t="n">
        <v>35</v>
      </c>
      <c r="AN31" s="18" t="n"/>
      <c r="AO31" s="18" t="n"/>
      <c r="AP31" s="17" t="n">
        <v>36</v>
      </c>
      <c r="AQ31" s="18" t="n"/>
      <c r="AR31" s="18" t="n"/>
      <c r="AS31" s="17" t="n">
        <v>37</v>
      </c>
      <c r="AT31" s="18" t="n"/>
      <c r="AU31" s="18" t="n"/>
      <c r="AV31" s="17" t="n">
        <v>38</v>
      </c>
      <c r="AW31" s="18" t="n"/>
      <c r="AX31" s="18" t="n"/>
      <c r="AY31" s="20" t="n"/>
    </row>
    <row r="32" ht="21" customHeight="1">
      <c r="A32" s="22" t="inlineStr">
        <is>
          <t>LINGUAL</t>
        </is>
      </c>
      <c r="B32" s="23" t="inlineStr">
        <is>
          <t>PLAQUE</t>
        </is>
      </c>
      <c r="C32" s="24" t="n"/>
      <c r="D32" s="25" t="n"/>
      <c r="E32" s="25" t="n"/>
      <c r="F32" s="24" t="n"/>
      <c r="G32" s="25" t="n"/>
      <c r="H32" s="25" t="n"/>
      <c r="I32" s="24" t="n"/>
      <c r="J32" s="25" t="n"/>
      <c r="K32" s="25" t="n"/>
      <c r="L32" s="24" t="n"/>
      <c r="M32" s="25" t="n"/>
      <c r="N32" s="25" t="n"/>
      <c r="O32" s="24" t="n"/>
      <c r="P32" s="25" t="n"/>
      <c r="Q32" s="25" t="n"/>
      <c r="R32" s="24" t="n"/>
      <c r="S32" s="25" t="n"/>
      <c r="T32" s="25" t="n"/>
      <c r="U32" s="24" t="n"/>
      <c r="V32" s="25" t="n"/>
      <c r="W32" s="25" t="n"/>
      <c r="X32" s="24" t="n"/>
      <c r="Y32" s="25" t="n"/>
      <c r="Z32" s="25" t="n"/>
      <c r="AA32" s="26" t="n"/>
      <c r="AB32" s="25" t="n"/>
      <c r="AC32" s="25" t="n"/>
      <c r="AD32" s="24" t="n"/>
      <c r="AE32" s="25" t="n"/>
      <c r="AF32" s="25" t="n"/>
      <c r="AG32" s="24" t="n"/>
      <c r="AH32" s="25" t="n"/>
      <c r="AI32" s="25" t="n"/>
      <c r="AJ32" s="24" t="n"/>
      <c r="AK32" s="25" t="n"/>
      <c r="AL32" s="25" t="n"/>
      <c r="AM32" s="24" t="n"/>
      <c r="AN32" s="25" t="n"/>
      <c r="AO32" s="25" t="n"/>
      <c r="AP32" s="24" t="n"/>
      <c r="AQ32" s="25" t="n"/>
      <c r="AR32" s="25" t="n"/>
      <c r="AS32" s="24" t="n"/>
      <c r="AT32" s="25" t="n"/>
      <c r="AU32" s="25" t="n"/>
      <c r="AV32" s="24" t="n"/>
      <c r="AW32" s="25" t="n"/>
      <c r="AX32" s="25" t="n"/>
      <c r="AY32" s="27" t="inlineStr">
        <is>
          <t>PLAQUE</t>
        </is>
      </c>
    </row>
    <row r="33" ht="21" customHeight="1">
      <c r="A33" s="22" t="n"/>
      <c r="B33" s="23" t="inlineStr">
        <is>
          <t>BOP</t>
        </is>
      </c>
      <c r="C33" s="24" t="n"/>
      <c r="D33" s="25" t="n"/>
      <c r="E33" s="25" t="n"/>
      <c r="F33" s="24" t="n"/>
      <c r="G33" s="25" t="n"/>
      <c r="H33" s="25" t="n"/>
      <c r="I33" s="24" t="n"/>
      <c r="J33" s="25" t="n"/>
      <c r="K33" s="25" t="n"/>
      <c r="L33" s="24" t="n"/>
      <c r="M33" s="25" t="n"/>
      <c r="N33" s="25" t="n"/>
      <c r="O33" s="24" t="n"/>
      <c r="P33" s="25" t="n"/>
      <c r="Q33" s="25" t="n"/>
      <c r="R33" s="24" t="n"/>
      <c r="S33" s="25" t="n"/>
      <c r="T33" s="25" t="n"/>
      <c r="U33" s="24" t="n"/>
      <c r="V33" s="25" t="n"/>
      <c r="W33" s="25" t="n"/>
      <c r="X33" s="24" t="n"/>
      <c r="Y33" s="25" t="n"/>
      <c r="Z33" s="25" t="n"/>
      <c r="AA33" s="26" t="n"/>
      <c r="AB33" s="25" t="n"/>
      <c r="AC33" s="25" t="n"/>
      <c r="AD33" s="24" t="n"/>
      <c r="AE33" s="25" t="n"/>
      <c r="AF33" s="25" t="n"/>
      <c r="AG33" s="24" t="n"/>
      <c r="AH33" s="25" t="n"/>
      <c r="AI33" s="25" t="n"/>
      <c r="AJ33" s="24" t="n"/>
      <c r="AK33" s="25" t="n"/>
      <c r="AL33" s="25" t="n"/>
      <c r="AM33" s="24" t="n"/>
      <c r="AN33" s="25" t="n"/>
      <c r="AO33" s="25" t="n"/>
      <c r="AP33" s="24" t="n"/>
      <c r="AQ33" s="25" t="n"/>
      <c r="AR33" s="25" t="n"/>
      <c r="AS33" s="24" t="n"/>
      <c r="AT33" s="25" t="n"/>
      <c r="AU33" s="25" t="n"/>
      <c r="AV33" s="24" t="n"/>
      <c r="AW33" s="25" t="n"/>
      <c r="AX33" s="25" t="n"/>
      <c r="AY33" s="27" t="inlineStr">
        <is>
          <t>BOP</t>
        </is>
      </c>
    </row>
    <row r="34" ht="21" customHeight="1">
      <c r="A34" s="22" t="n"/>
      <c r="B34" s="23" t="inlineStr">
        <is>
          <t>CEJ-GM</t>
        </is>
      </c>
      <c r="C34" s="24" t="n"/>
      <c r="D34" s="25" t="n"/>
      <c r="E34" s="25" t="n"/>
      <c r="F34" s="24" t="n"/>
      <c r="G34" s="25" t="n"/>
      <c r="H34" s="25" t="n"/>
      <c r="I34" s="24" t="n"/>
      <c r="J34" s="25" t="n"/>
      <c r="K34" s="25" t="n"/>
      <c r="L34" s="24" t="n"/>
      <c r="M34" s="25" t="n"/>
      <c r="N34" s="25" t="n"/>
      <c r="O34" s="24" t="n"/>
      <c r="P34" s="25" t="n"/>
      <c r="Q34" s="25" t="n"/>
      <c r="R34" s="24" t="n"/>
      <c r="S34" s="25" t="n"/>
      <c r="T34" s="25" t="n"/>
      <c r="U34" s="24" t="n"/>
      <c r="V34" s="25" t="n"/>
      <c r="W34" s="25" t="n"/>
      <c r="X34" s="24" t="n"/>
      <c r="Y34" s="25" t="n"/>
      <c r="Z34" s="25" t="n"/>
      <c r="AA34" s="26" t="n"/>
      <c r="AB34" s="25" t="n"/>
      <c r="AC34" s="25" t="n"/>
      <c r="AD34" s="24" t="n"/>
      <c r="AE34" s="25" t="n"/>
      <c r="AF34" s="25" t="n"/>
      <c r="AG34" s="24" t="n"/>
      <c r="AH34" s="25" t="n"/>
      <c r="AI34" s="25" t="n"/>
      <c r="AJ34" s="24" t="n"/>
      <c r="AK34" s="25" t="n"/>
      <c r="AL34" s="25" t="n"/>
      <c r="AM34" s="24" t="n"/>
      <c r="AN34" s="25" t="n"/>
      <c r="AO34" s="25" t="n"/>
      <c r="AP34" s="24" t="n"/>
      <c r="AQ34" s="25" t="n"/>
      <c r="AR34" s="25" t="n"/>
      <c r="AS34" s="24" t="n"/>
      <c r="AT34" s="25" t="n"/>
      <c r="AU34" s="25" t="n"/>
      <c r="AV34" s="24" t="n"/>
      <c r="AW34" s="25" t="n"/>
      <c r="AX34" s="25" t="n"/>
      <c r="AY34" s="27" t="inlineStr">
        <is>
          <t>CEJ-GM</t>
        </is>
      </c>
    </row>
    <row r="35" ht="21" customHeight="1">
      <c r="A35" s="22" t="n"/>
      <c r="B35" s="23" t="inlineStr">
        <is>
          <t>PD</t>
        </is>
      </c>
      <c r="C35" s="31" t="n"/>
      <c r="D35" s="32" t="n"/>
      <c r="E35" s="32" t="n"/>
      <c r="F35" s="31" t="n"/>
      <c r="G35" s="32" t="n"/>
      <c r="H35" s="32" t="n"/>
      <c r="I35" s="31" t="n"/>
      <c r="J35" s="32" t="n"/>
      <c r="K35" s="32" t="n"/>
      <c r="L35" s="31" t="n"/>
      <c r="M35" s="32" t="n"/>
      <c r="N35" s="32" t="n"/>
      <c r="O35" s="31" t="n"/>
      <c r="P35" s="32" t="n"/>
      <c r="Q35" s="32" t="n"/>
      <c r="R35" s="31" t="n"/>
      <c r="S35" s="32" t="n"/>
      <c r="T35" s="32" t="n"/>
      <c r="U35" s="31" t="n"/>
      <c r="V35" s="32" t="n"/>
      <c r="W35" s="32" t="n"/>
      <c r="X35" s="31" t="n"/>
      <c r="Y35" s="32" t="n"/>
      <c r="Z35" s="32" t="n"/>
      <c r="AA35" s="33" t="n"/>
      <c r="AB35" s="32" t="n"/>
      <c r="AC35" s="32" t="n"/>
      <c r="AD35" s="31" t="n"/>
      <c r="AE35" s="32" t="n"/>
      <c r="AF35" s="32" t="n"/>
      <c r="AG35" s="31" t="n"/>
      <c r="AH35" s="32" t="n"/>
      <c r="AI35" s="32" t="n"/>
      <c r="AJ35" s="31" t="n"/>
      <c r="AK35" s="32" t="n"/>
      <c r="AL35" s="32" t="n"/>
      <c r="AM35" s="31" t="n"/>
      <c r="AN35" s="32" t="n"/>
      <c r="AO35" s="32" t="n"/>
      <c r="AP35" s="31" t="n"/>
      <c r="AQ35" s="32" t="n"/>
      <c r="AR35" s="32" t="n"/>
      <c r="AS35" s="31" t="n"/>
      <c r="AT35" s="32" t="n"/>
      <c r="AU35" s="32" t="n"/>
      <c r="AV35" s="31" t="n"/>
      <c r="AW35" s="32" t="n"/>
      <c r="AX35" s="32" t="n"/>
      <c r="AY35" s="27" t="inlineStr">
        <is>
          <t>PD</t>
        </is>
      </c>
    </row>
    <row r="36" ht="19" customHeight="1">
      <c r="A36" s="34" t="n"/>
      <c r="B36" s="35" t="inlineStr">
        <is>
          <t>CAL</t>
        </is>
      </c>
      <c r="C36" s="36">
        <f>IF(C35="","",C35+N(C34))</f>
        <v/>
      </c>
      <c r="D36" s="37">
        <f>IF(D35="","",D35+N(D34))</f>
        <v/>
      </c>
      <c r="E36" s="37">
        <f>IF(E35="","",E35+N(E34))</f>
        <v/>
      </c>
      <c r="F36" s="36">
        <f>IF(F35="","",F35+N(F34))</f>
        <v/>
      </c>
      <c r="G36" s="37">
        <f>IF(G35="","",G35+N(G34))</f>
        <v/>
      </c>
      <c r="H36" s="37">
        <f>IF(H35="","",H35+N(H34))</f>
        <v/>
      </c>
      <c r="I36" s="36">
        <f>IF(I35="","",I35+N(I34))</f>
        <v/>
      </c>
      <c r="J36" s="37">
        <f>IF(J35="","",J35+N(J34))</f>
        <v/>
      </c>
      <c r="K36" s="37">
        <f>IF(K35="","",K35+N(K34))</f>
        <v/>
      </c>
      <c r="L36" s="36">
        <f>IF(L35="","",L35+N(L34))</f>
        <v/>
      </c>
      <c r="M36" s="37">
        <f>IF(M35="","",M35+N(M34))</f>
        <v/>
      </c>
      <c r="N36" s="37">
        <f>IF(N35="","",N35+N(N34))</f>
        <v/>
      </c>
      <c r="O36" s="36">
        <f>IF(O35="","",O35+N(O34))</f>
        <v/>
      </c>
      <c r="P36" s="37">
        <f>IF(P35="","",P35+N(P34))</f>
        <v/>
      </c>
      <c r="Q36" s="37">
        <f>IF(Q35="","",Q35+N(Q34))</f>
        <v/>
      </c>
      <c r="R36" s="36">
        <f>IF(R35="","",R35+N(R34))</f>
        <v/>
      </c>
      <c r="S36" s="37">
        <f>IF(S35="","",S35+N(S34))</f>
        <v/>
      </c>
      <c r="T36" s="37">
        <f>IF(T35="","",T35+N(T34))</f>
        <v/>
      </c>
      <c r="U36" s="36">
        <f>IF(U35="","",U35+N(U34))</f>
        <v/>
      </c>
      <c r="V36" s="37">
        <f>IF(V35="","",V35+N(V34))</f>
        <v/>
      </c>
      <c r="W36" s="37">
        <f>IF(W35="","",W35+N(W34))</f>
        <v/>
      </c>
      <c r="X36" s="36">
        <f>IF(X35="","",X35+N(X34))</f>
        <v/>
      </c>
      <c r="Y36" s="37">
        <f>IF(Y35="","",Y35+N(Y34))</f>
        <v/>
      </c>
      <c r="Z36" s="37">
        <f>IF(Z35="","",Z35+N(Z34))</f>
        <v/>
      </c>
      <c r="AA36" s="38">
        <f>IF(AA35="","",AA35+N(AA34))</f>
        <v/>
      </c>
      <c r="AB36" s="37">
        <f>IF(AB35="","",AB35+N(AB34))</f>
        <v/>
      </c>
      <c r="AC36" s="37">
        <f>IF(AC35="","",AC35+N(AC34))</f>
        <v/>
      </c>
      <c r="AD36" s="36">
        <f>IF(AD35="","",AD35+N(AD34))</f>
        <v/>
      </c>
      <c r="AE36" s="37">
        <f>IF(AE35="","",AE35+N(AE34))</f>
        <v/>
      </c>
      <c r="AF36" s="37">
        <f>IF(AF35="","",AF35+N(AF34))</f>
        <v/>
      </c>
      <c r="AG36" s="36">
        <f>IF(AG35="","",AG35+N(AG34))</f>
        <v/>
      </c>
      <c r="AH36" s="37">
        <f>IF(AH35="","",AH35+N(AH34))</f>
        <v/>
      </c>
      <c r="AI36" s="37">
        <f>IF(AI35="","",AI35+N(AI34))</f>
        <v/>
      </c>
      <c r="AJ36" s="36">
        <f>IF(AJ35="","",AJ35+N(AJ34))</f>
        <v/>
      </c>
      <c r="AK36" s="37">
        <f>IF(AK35="","",AK35+N(AK34))</f>
        <v/>
      </c>
      <c r="AL36" s="37">
        <f>IF(AL35="","",AL35+N(AL34))</f>
        <v/>
      </c>
      <c r="AM36" s="36">
        <f>IF(AM35="","",AM35+N(AM34))</f>
        <v/>
      </c>
      <c r="AN36" s="37">
        <f>IF(AN35="","",AN35+N(AN34))</f>
        <v/>
      </c>
      <c r="AO36" s="37">
        <f>IF(AO35="","",AO35+N(AO34))</f>
        <v/>
      </c>
      <c r="AP36" s="36">
        <f>IF(AP35="","",AP35+N(AP34))</f>
        <v/>
      </c>
      <c r="AQ36" s="37">
        <f>IF(AQ35="","",AQ35+N(AQ34))</f>
        <v/>
      </c>
      <c r="AR36" s="37">
        <f>IF(AR35="","",AR35+N(AR34))</f>
        <v/>
      </c>
      <c r="AS36" s="36">
        <f>IF(AS35="","",AS35+N(AS34))</f>
        <v/>
      </c>
      <c r="AT36" s="37">
        <f>IF(AT35="","",AT35+N(AT34))</f>
        <v/>
      </c>
      <c r="AU36" s="37">
        <f>IF(AU35="","",AU35+N(AU34))</f>
        <v/>
      </c>
      <c r="AV36" s="36">
        <f>IF(AV35="","",AV35+N(AV34))</f>
        <v/>
      </c>
      <c r="AW36" s="37">
        <f>IF(AW35="","",AW35+N(AW34))</f>
        <v/>
      </c>
      <c r="AX36" s="37">
        <f>IF(AX35="","",AX35+N(AX34))</f>
        <v/>
      </c>
      <c r="AY36" s="39" t="inlineStr">
        <is>
          <t>CAL</t>
        </is>
      </c>
    </row>
    <row r="37" ht="18.59" customHeight="1">
      <c r="A37" s="41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3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  <c r="AO37" s="42" t="n"/>
      <c r="AP37" s="42" t="n"/>
      <c r="AQ37" s="42" t="n"/>
      <c r="AR37" s="42" t="n"/>
      <c r="AS37" s="42" t="n"/>
      <c r="AT37" s="42" t="n"/>
      <c r="AU37" s="42" t="n"/>
      <c r="AV37" s="42" t="n"/>
      <c r="AW37" s="42" t="n"/>
      <c r="AX37" s="42" t="n"/>
      <c r="AY37" s="44" t="n"/>
    </row>
    <row r="38" ht="18.59" customHeight="1">
      <c r="A38" s="47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9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50" t="n"/>
    </row>
    <row r="39" ht="18.59" customHeight="1">
      <c r="A39" s="47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9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8" t="n"/>
      <c r="AP39" s="48" t="n"/>
      <c r="AQ39" s="48" t="n"/>
      <c r="AR39" s="48" t="n"/>
      <c r="AS39" s="48" t="n"/>
      <c r="AT39" s="48" t="n"/>
      <c r="AU39" s="48" t="n"/>
      <c r="AV39" s="48" t="n"/>
      <c r="AW39" s="48" t="n"/>
      <c r="AX39" s="48" t="n"/>
      <c r="AY39" s="50" t="n"/>
    </row>
    <row r="40" ht="18.59" customHeight="1">
      <c r="A40" s="47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9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48" t="n"/>
      <c r="AK40" s="48" t="n"/>
      <c r="AL40" s="48" t="n"/>
      <c r="AM40" s="48" t="n"/>
      <c r="AN40" s="48" t="n"/>
      <c r="AO40" s="48" t="n"/>
      <c r="AP40" s="48" t="n"/>
      <c r="AQ40" s="48" t="n"/>
      <c r="AR40" s="48" t="n"/>
      <c r="AS40" s="48" t="n"/>
      <c r="AT40" s="48" t="n"/>
      <c r="AU40" s="48" t="n"/>
      <c r="AV40" s="48" t="n"/>
      <c r="AW40" s="48" t="n"/>
      <c r="AX40" s="48" t="n"/>
      <c r="AY40" s="50" t="n"/>
    </row>
    <row r="41" ht="18.59" customHeight="1">
      <c r="A41" s="47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9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50" t="n"/>
    </row>
    <row r="42" ht="18.59" customHeight="1">
      <c r="A42" s="47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9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8" t="n"/>
      <c r="AP42" s="48" t="n"/>
      <c r="AQ42" s="48" t="n"/>
      <c r="AR42" s="48" t="n"/>
      <c r="AS42" s="48" t="n"/>
      <c r="AT42" s="48" t="n"/>
      <c r="AU42" s="48" t="n"/>
      <c r="AV42" s="48" t="n"/>
      <c r="AW42" s="48" t="n"/>
      <c r="AX42" s="48" t="n"/>
      <c r="AY42" s="50" t="n"/>
    </row>
    <row r="43" ht="18.59" customHeight="1">
      <c r="A43" s="51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3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4" t="n"/>
    </row>
    <row r="44" ht="19" customHeight="1">
      <c r="A44" s="55" t="inlineStr">
        <is>
          <t>BUCCAL</t>
        </is>
      </c>
      <c r="B44" s="56" t="inlineStr">
        <is>
          <t>CAL</t>
        </is>
      </c>
      <c r="C44" s="57">
        <f>IF(C45="","",C45+N(C46))</f>
        <v/>
      </c>
      <c r="D44" s="58">
        <f>IF(D45="","",D45+N(D46))</f>
        <v/>
      </c>
      <c r="E44" s="58">
        <f>IF(E45="","",E45+N(E46))</f>
        <v/>
      </c>
      <c r="F44" s="57">
        <f>IF(F45="","",F45+N(F46))</f>
        <v/>
      </c>
      <c r="G44" s="58">
        <f>IF(G45="","",G45+N(G46))</f>
        <v/>
      </c>
      <c r="H44" s="58">
        <f>IF(H45="","",H45+N(H46))</f>
        <v/>
      </c>
      <c r="I44" s="57">
        <f>IF(I45="","",I45+N(I46))</f>
        <v/>
      </c>
      <c r="J44" s="58">
        <f>IF(J45="","",J45+N(J46))</f>
        <v/>
      </c>
      <c r="K44" s="58">
        <f>IF(K45="","",K45+N(K46))</f>
        <v/>
      </c>
      <c r="L44" s="57">
        <f>IF(L45="","",L45+N(L46))</f>
        <v/>
      </c>
      <c r="M44" s="58">
        <f>IF(M45="","",M45+N(M46))</f>
        <v/>
      </c>
      <c r="N44" s="58">
        <f>IF(N45="","",N45+N(N46))</f>
        <v/>
      </c>
      <c r="O44" s="57">
        <f>IF(O45="","",O45+N(O46))</f>
        <v/>
      </c>
      <c r="P44" s="58">
        <f>IF(P45="","",P45+N(P46))</f>
        <v/>
      </c>
      <c r="Q44" s="58">
        <f>IF(Q45="","",Q45+N(Q46))</f>
        <v/>
      </c>
      <c r="R44" s="57">
        <f>IF(R45="","",R45+N(R46))</f>
        <v/>
      </c>
      <c r="S44" s="58">
        <f>IF(S45="","",S45+N(S46))</f>
        <v/>
      </c>
      <c r="T44" s="58">
        <f>IF(T45="","",T45+N(T46))</f>
        <v/>
      </c>
      <c r="U44" s="57">
        <f>IF(U45="","",U45+N(U46))</f>
        <v/>
      </c>
      <c r="V44" s="58">
        <f>IF(V45="","",V45+N(V46))</f>
        <v/>
      </c>
      <c r="W44" s="58">
        <f>IF(W45="","",W45+N(W46))</f>
        <v/>
      </c>
      <c r="X44" s="57">
        <f>IF(X45="","",X45+N(X46))</f>
        <v/>
      </c>
      <c r="Y44" s="58">
        <f>IF(Y45="","",Y45+N(Y46))</f>
        <v/>
      </c>
      <c r="Z44" s="58">
        <f>IF(Z45="","",Z45+N(Z46))</f>
        <v/>
      </c>
      <c r="AA44" s="59">
        <f>IF(AA45="","",AA45+N(AA46))</f>
        <v/>
      </c>
      <c r="AB44" s="58">
        <f>IF(AB45="","",AB45+N(AB46))</f>
        <v/>
      </c>
      <c r="AC44" s="58">
        <f>IF(AC45="","",AC45+N(AC46))</f>
        <v/>
      </c>
      <c r="AD44" s="57">
        <f>IF(AD45="","",AD45+N(AD46))</f>
        <v/>
      </c>
      <c r="AE44" s="58">
        <f>IF(AE45="","",AE45+N(AE46))</f>
        <v/>
      </c>
      <c r="AF44" s="58">
        <f>IF(AF45="","",AF45+N(AF46))</f>
        <v/>
      </c>
      <c r="AG44" s="57">
        <f>IF(AG45="","",AG45+N(AG46))</f>
        <v/>
      </c>
      <c r="AH44" s="58">
        <f>IF(AH45="","",AH45+N(AH46))</f>
        <v/>
      </c>
      <c r="AI44" s="58">
        <f>IF(AI45="","",AI45+N(AI46))</f>
        <v/>
      </c>
      <c r="AJ44" s="57">
        <f>IF(AJ45="","",AJ45+N(AJ46))</f>
        <v/>
      </c>
      <c r="AK44" s="58">
        <f>IF(AK45="","",AK45+N(AK46))</f>
        <v/>
      </c>
      <c r="AL44" s="58">
        <f>IF(AL45="","",AL45+N(AL46))</f>
        <v/>
      </c>
      <c r="AM44" s="57">
        <f>IF(AM45="","",AM45+N(AM46))</f>
        <v/>
      </c>
      <c r="AN44" s="58">
        <f>IF(AN45="","",AN45+N(AN46))</f>
        <v/>
      </c>
      <c r="AO44" s="58">
        <f>IF(AO45="","",AO45+N(AO46))</f>
        <v/>
      </c>
      <c r="AP44" s="57">
        <f>IF(AP45="","",AP45+N(AP46))</f>
        <v/>
      </c>
      <c r="AQ44" s="58">
        <f>IF(AQ45="","",AQ45+N(AQ46))</f>
        <v/>
      </c>
      <c r="AR44" s="58">
        <f>IF(AR45="","",AR45+N(AR46))</f>
        <v/>
      </c>
      <c r="AS44" s="57">
        <f>IF(AS45="","",AS45+N(AS46))</f>
        <v/>
      </c>
      <c r="AT44" s="58">
        <f>IF(AT45="","",AT45+N(AT46))</f>
        <v/>
      </c>
      <c r="AU44" s="58">
        <f>IF(AU45="","",AU45+N(AU46))</f>
        <v/>
      </c>
      <c r="AV44" s="57">
        <f>IF(AV45="","",AV45+N(AV46))</f>
        <v/>
      </c>
      <c r="AW44" s="58">
        <f>IF(AW45="","",AW45+N(AW46))</f>
        <v/>
      </c>
      <c r="AX44" s="58">
        <f>IF(AX45="","",AX45+N(AX46))</f>
        <v/>
      </c>
      <c r="AY44" s="60" t="inlineStr">
        <is>
          <t>CAL</t>
        </is>
      </c>
    </row>
    <row r="45" ht="21" customHeight="1">
      <c r="A45" s="22" t="n"/>
      <c r="B45" s="23" t="inlineStr">
        <is>
          <t>PD</t>
        </is>
      </c>
      <c r="C45" s="31" t="n"/>
      <c r="D45" s="32" t="n"/>
      <c r="E45" s="32" t="n"/>
      <c r="F45" s="31" t="n"/>
      <c r="G45" s="32" t="n"/>
      <c r="H45" s="32" t="n"/>
      <c r="I45" s="31" t="n"/>
      <c r="J45" s="32" t="n"/>
      <c r="K45" s="32" t="n"/>
      <c r="L45" s="31" t="n"/>
      <c r="M45" s="32" t="n"/>
      <c r="N45" s="32" t="n"/>
      <c r="O45" s="31" t="n"/>
      <c r="P45" s="32" t="n"/>
      <c r="Q45" s="32" t="n"/>
      <c r="R45" s="31" t="n"/>
      <c r="S45" s="32" t="n"/>
      <c r="T45" s="32" t="n"/>
      <c r="U45" s="31" t="n"/>
      <c r="V45" s="32" t="n"/>
      <c r="W45" s="32" t="n"/>
      <c r="X45" s="31" t="n"/>
      <c r="Y45" s="32" t="n"/>
      <c r="Z45" s="32" t="n"/>
      <c r="AA45" s="33" t="n"/>
      <c r="AB45" s="32" t="n"/>
      <c r="AC45" s="32" t="n"/>
      <c r="AD45" s="31" t="n"/>
      <c r="AE45" s="32" t="n"/>
      <c r="AF45" s="32" t="n"/>
      <c r="AG45" s="31" t="n"/>
      <c r="AH45" s="32" t="n"/>
      <c r="AI45" s="32" t="n"/>
      <c r="AJ45" s="31" t="n"/>
      <c r="AK45" s="32" t="n"/>
      <c r="AL45" s="32" t="n"/>
      <c r="AM45" s="31" t="n"/>
      <c r="AN45" s="32" t="n"/>
      <c r="AO45" s="32" t="n"/>
      <c r="AP45" s="31" t="n"/>
      <c r="AQ45" s="32" t="n"/>
      <c r="AR45" s="32" t="n"/>
      <c r="AS45" s="31" t="n"/>
      <c r="AT45" s="32" t="n"/>
      <c r="AU45" s="32" t="n"/>
      <c r="AV45" s="31" t="n"/>
      <c r="AW45" s="32" t="n"/>
      <c r="AX45" s="32" t="n"/>
      <c r="AY45" s="27" t="inlineStr">
        <is>
          <t>PD</t>
        </is>
      </c>
    </row>
    <row r="46" ht="21" customHeight="1">
      <c r="A46" s="22" t="n"/>
      <c r="B46" s="23" t="inlineStr">
        <is>
          <t>CEJ-GM</t>
        </is>
      </c>
      <c r="C46" s="24" t="n"/>
      <c r="D46" s="25" t="n"/>
      <c r="E46" s="25" t="n"/>
      <c r="F46" s="24" t="n"/>
      <c r="G46" s="25" t="n"/>
      <c r="H46" s="25" t="n"/>
      <c r="I46" s="24" t="n"/>
      <c r="J46" s="25" t="n"/>
      <c r="K46" s="25" t="n"/>
      <c r="L46" s="24" t="n"/>
      <c r="M46" s="25" t="n"/>
      <c r="N46" s="25" t="n"/>
      <c r="O46" s="24" t="n"/>
      <c r="P46" s="25" t="n"/>
      <c r="Q46" s="25" t="n"/>
      <c r="R46" s="24" t="n"/>
      <c r="S46" s="25" t="n"/>
      <c r="T46" s="25" t="n"/>
      <c r="U46" s="24" t="n"/>
      <c r="V46" s="25" t="n"/>
      <c r="W46" s="25" t="n"/>
      <c r="X46" s="24" t="n"/>
      <c r="Y46" s="25" t="n"/>
      <c r="Z46" s="25" t="n"/>
      <c r="AA46" s="26" t="n"/>
      <c r="AB46" s="25" t="n"/>
      <c r="AC46" s="25" t="n"/>
      <c r="AD46" s="24" t="n"/>
      <c r="AE46" s="25" t="n"/>
      <c r="AF46" s="25" t="n"/>
      <c r="AG46" s="24" t="n"/>
      <c r="AH46" s="25" t="n"/>
      <c r="AI46" s="25" t="n"/>
      <c r="AJ46" s="24" t="n"/>
      <c r="AK46" s="25" t="n"/>
      <c r="AL46" s="25" t="n"/>
      <c r="AM46" s="24" t="n"/>
      <c r="AN46" s="25" t="n"/>
      <c r="AO46" s="25" t="n"/>
      <c r="AP46" s="24" t="n"/>
      <c r="AQ46" s="25" t="n"/>
      <c r="AR46" s="25" t="n"/>
      <c r="AS46" s="24" t="n"/>
      <c r="AT46" s="25" t="n"/>
      <c r="AU46" s="25" t="n"/>
      <c r="AV46" s="24" t="n"/>
      <c r="AW46" s="25" t="n"/>
      <c r="AX46" s="25" t="n"/>
      <c r="AY46" s="27" t="inlineStr">
        <is>
          <t>CEJ-GM</t>
        </is>
      </c>
    </row>
    <row r="47" ht="21" customHeight="1">
      <c r="A47" s="22" t="n"/>
      <c r="B47" s="23" t="inlineStr">
        <is>
          <t>BOP</t>
        </is>
      </c>
      <c r="C47" s="24" t="n"/>
      <c r="D47" s="25" t="n"/>
      <c r="E47" s="25" t="n"/>
      <c r="F47" s="24" t="n"/>
      <c r="G47" s="25" t="n"/>
      <c r="H47" s="25" t="n"/>
      <c r="I47" s="24" t="n"/>
      <c r="J47" s="25" t="n"/>
      <c r="K47" s="25" t="n"/>
      <c r="L47" s="24" t="n"/>
      <c r="M47" s="25" t="n"/>
      <c r="N47" s="25" t="n"/>
      <c r="O47" s="24" t="n"/>
      <c r="P47" s="25" t="n"/>
      <c r="Q47" s="25" t="n"/>
      <c r="R47" s="24" t="n"/>
      <c r="S47" s="25" t="n"/>
      <c r="T47" s="25" t="n"/>
      <c r="U47" s="24" t="n"/>
      <c r="V47" s="25" t="n"/>
      <c r="W47" s="25" t="n"/>
      <c r="X47" s="24" t="n"/>
      <c r="Y47" s="25" t="n"/>
      <c r="Z47" s="25" t="n"/>
      <c r="AA47" s="26" t="n"/>
      <c r="AB47" s="25" t="n"/>
      <c r="AC47" s="25" t="n"/>
      <c r="AD47" s="24" t="n"/>
      <c r="AE47" s="25" t="n"/>
      <c r="AF47" s="25" t="n"/>
      <c r="AG47" s="24" t="n"/>
      <c r="AH47" s="25" t="n"/>
      <c r="AI47" s="25" t="n"/>
      <c r="AJ47" s="24" t="n"/>
      <c r="AK47" s="25" t="n"/>
      <c r="AL47" s="25" t="n"/>
      <c r="AM47" s="24" t="n"/>
      <c r="AN47" s="25" t="n"/>
      <c r="AO47" s="25" t="n"/>
      <c r="AP47" s="24" t="n"/>
      <c r="AQ47" s="25" t="n"/>
      <c r="AR47" s="25" t="n"/>
      <c r="AS47" s="24" t="n"/>
      <c r="AT47" s="25" t="n"/>
      <c r="AU47" s="25" t="n"/>
      <c r="AV47" s="24" t="n"/>
      <c r="AW47" s="25" t="n"/>
      <c r="AX47" s="25" t="n"/>
      <c r="AY47" s="27" t="inlineStr">
        <is>
          <t>BOP</t>
        </is>
      </c>
    </row>
    <row r="48" ht="21" customHeight="1">
      <c r="A48" s="22" t="n"/>
      <c r="B48" s="23" t="inlineStr">
        <is>
          <t>PLAQUE</t>
        </is>
      </c>
      <c r="C48" s="24" t="n"/>
      <c r="D48" s="25" t="n"/>
      <c r="E48" s="25" t="n"/>
      <c r="F48" s="24" t="n"/>
      <c r="G48" s="25" t="n"/>
      <c r="H48" s="25" t="n"/>
      <c r="I48" s="24" t="n"/>
      <c r="J48" s="25" t="n"/>
      <c r="K48" s="25" t="n"/>
      <c r="L48" s="24" t="n"/>
      <c r="M48" s="25" t="n"/>
      <c r="N48" s="25" t="n"/>
      <c r="O48" s="24" t="n"/>
      <c r="P48" s="25" t="n"/>
      <c r="Q48" s="25" t="n"/>
      <c r="R48" s="24" t="n"/>
      <c r="S48" s="25" t="n"/>
      <c r="T48" s="25" t="n"/>
      <c r="U48" s="24" t="n"/>
      <c r="V48" s="25" t="n"/>
      <c r="W48" s="25" t="n"/>
      <c r="X48" s="24" t="n"/>
      <c r="Y48" s="25" t="n"/>
      <c r="Z48" s="25" t="n"/>
      <c r="AA48" s="26" t="n"/>
      <c r="AB48" s="25" t="n"/>
      <c r="AC48" s="25" t="n"/>
      <c r="AD48" s="24" t="n"/>
      <c r="AE48" s="25" t="n"/>
      <c r="AF48" s="25" t="n"/>
      <c r="AG48" s="24" t="n"/>
      <c r="AH48" s="25" t="n"/>
      <c r="AI48" s="25" t="n"/>
      <c r="AJ48" s="24" t="n"/>
      <c r="AK48" s="25" t="n"/>
      <c r="AL48" s="25" t="n"/>
      <c r="AM48" s="24" t="n"/>
      <c r="AN48" s="25" t="n"/>
      <c r="AO48" s="25" t="n"/>
      <c r="AP48" s="24" t="n"/>
      <c r="AQ48" s="25" t="n"/>
      <c r="AR48" s="25" t="n"/>
      <c r="AS48" s="24" t="n"/>
      <c r="AT48" s="25" t="n"/>
      <c r="AU48" s="25" t="n"/>
      <c r="AV48" s="24" t="n"/>
      <c r="AW48" s="25" t="n"/>
      <c r="AX48" s="25" t="n"/>
      <c r="AY48" s="27" t="inlineStr">
        <is>
          <t>PLAQUE</t>
        </is>
      </c>
    </row>
    <row r="49" ht="21" customHeight="1">
      <c r="A49" s="22" t="n"/>
      <c r="B49" s="23" t="inlineStr">
        <is>
          <t>KG</t>
        </is>
      </c>
      <c r="C49" s="24" t="n"/>
      <c r="D49" s="25" t="n"/>
      <c r="E49" s="25" t="n"/>
      <c r="F49" s="24" t="n"/>
      <c r="G49" s="25" t="n"/>
      <c r="H49" s="25" t="n"/>
      <c r="I49" s="24" t="n"/>
      <c r="J49" s="25" t="n"/>
      <c r="K49" s="25" t="n"/>
      <c r="L49" s="24" t="n"/>
      <c r="M49" s="25" t="n"/>
      <c r="N49" s="25" t="n"/>
      <c r="O49" s="24" t="n"/>
      <c r="P49" s="25" t="n"/>
      <c r="Q49" s="25" t="n"/>
      <c r="R49" s="24" t="n"/>
      <c r="S49" s="25" t="n"/>
      <c r="T49" s="25" t="n"/>
      <c r="U49" s="24" t="n"/>
      <c r="V49" s="25" t="n"/>
      <c r="W49" s="25" t="n"/>
      <c r="X49" s="24" t="n"/>
      <c r="Y49" s="25" t="n"/>
      <c r="Z49" s="25" t="n"/>
      <c r="AA49" s="26" t="n"/>
      <c r="AB49" s="25" t="n"/>
      <c r="AC49" s="25" t="n"/>
      <c r="AD49" s="24" t="n"/>
      <c r="AE49" s="25" t="n"/>
      <c r="AF49" s="25" t="n"/>
      <c r="AG49" s="24" t="n"/>
      <c r="AH49" s="25" t="n"/>
      <c r="AI49" s="25" t="n"/>
      <c r="AJ49" s="24" t="n"/>
      <c r="AK49" s="25" t="n"/>
      <c r="AL49" s="25" t="n"/>
      <c r="AM49" s="24" t="n"/>
      <c r="AN49" s="25" t="n"/>
      <c r="AO49" s="25" t="n"/>
      <c r="AP49" s="24" t="n"/>
      <c r="AQ49" s="25" t="n"/>
      <c r="AR49" s="25" t="n"/>
      <c r="AS49" s="24" t="n"/>
      <c r="AT49" s="25" t="n"/>
      <c r="AU49" s="25" t="n"/>
      <c r="AV49" s="24" t="n"/>
      <c r="AW49" s="25" t="n"/>
      <c r="AX49" s="25" t="n"/>
      <c r="AY49" s="27" t="inlineStr">
        <is>
          <t>KG</t>
        </is>
      </c>
    </row>
    <row r="50" ht="18" customHeight="1">
      <c r="A50" s="61" t="inlineStr">
        <is>
          <t>MANDIBLE</t>
        </is>
      </c>
      <c r="B50" s="62" t="n"/>
      <c r="C50" s="63" t="n">
        <v>48</v>
      </c>
      <c r="D50" s="64" t="n"/>
      <c r="E50" s="64" t="n"/>
      <c r="F50" s="63" t="n">
        <v>47</v>
      </c>
      <c r="G50" s="64" t="n"/>
      <c r="H50" s="64" t="n"/>
      <c r="I50" s="63" t="n">
        <v>46</v>
      </c>
      <c r="J50" s="64" t="n"/>
      <c r="K50" s="64" t="n"/>
      <c r="L50" s="63" t="n">
        <v>45</v>
      </c>
      <c r="M50" s="64" t="n"/>
      <c r="N50" s="64" t="n"/>
      <c r="O50" s="63" t="n">
        <v>44</v>
      </c>
      <c r="P50" s="64" t="n"/>
      <c r="Q50" s="64" t="n"/>
      <c r="R50" s="63" t="n">
        <v>43</v>
      </c>
      <c r="S50" s="64" t="n"/>
      <c r="T50" s="64" t="n"/>
      <c r="U50" s="63" t="n">
        <v>42</v>
      </c>
      <c r="V50" s="64" t="n"/>
      <c r="W50" s="64" t="n"/>
      <c r="X50" s="63" t="n">
        <v>41</v>
      </c>
      <c r="Y50" s="64" t="n"/>
      <c r="Z50" s="64" t="n"/>
      <c r="AA50" s="65" t="n">
        <v>31</v>
      </c>
      <c r="AB50" s="64" t="n"/>
      <c r="AC50" s="64" t="n"/>
      <c r="AD50" s="63" t="n">
        <v>32</v>
      </c>
      <c r="AE50" s="64" t="n"/>
      <c r="AF50" s="64" t="n"/>
      <c r="AG50" s="63" t="n">
        <v>33</v>
      </c>
      <c r="AH50" s="64" t="n"/>
      <c r="AI50" s="64" t="n"/>
      <c r="AJ50" s="63" t="n">
        <v>34</v>
      </c>
      <c r="AK50" s="64" t="n"/>
      <c r="AL50" s="64" t="n"/>
      <c r="AM50" s="63" t="n">
        <v>35</v>
      </c>
      <c r="AN50" s="64" t="n"/>
      <c r="AO50" s="64" t="n"/>
      <c r="AP50" s="63" t="n">
        <v>36</v>
      </c>
      <c r="AQ50" s="64" t="n"/>
      <c r="AR50" s="64" t="n"/>
      <c r="AS50" s="63" t="n">
        <v>37</v>
      </c>
      <c r="AT50" s="64" t="n"/>
      <c r="AU50" s="64" t="n"/>
      <c r="AV50" s="63" t="n">
        <v>38</v>
      </c>
      <c r="AW50" s="64" t="n"/>
      <c r="AX50" s="64" t="n"/>
      <c r="AY50" s="66" t="n"/>
    </row>
    <row r="52" ht="20" customHeight="1">
      <c r="C52" s="9" t="inlineStr">
        <is>
          <t>MISSING TEETH AND IMPLANTS (not printed)  ·  X = missing, crosses the tooth out  ·  I = implant (to draw it, right-click the drawing &gt; Change Picture)</t>
        </is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</row>
    <row r="53" ht="18" customHeight="1">
      <c r="A53" s="67" t="inlineStr">
        <is>
          <t>MAXILLA</t>
        </is>
      </c>
      <c r="B53" s="68" t="n"/>
      <c r="C53" s="69" t="n">
        <v>18</v>
      </c>
      <c r="D53" s="70" t="n"/>
      <c r="E53" s="70" t="n"/>
      <c r="F53" s="69" t="n">
        <v>17</v>
      </c>
      <c r="G53" s="70" t="n"/>
      <c r="H53" s="70" t="n"/>
      <c r="I53" s="69" t="n">
        <v>16</v>
      </c>
      <c r="J53" s="70" t="n"/>
      <c r="K53" s="70" t="n"/>
      <c r="L53" s="69" t="n">
        <v>15</v>
      </c>
      <c r="M53" s="70" t="n"/>
      <c r="N53" s="70" t="n"/>
      <c r="O53" s="69" t="n">
        <v>14</v>
      </c>
      <c r="P53" s="70" t="n"/>
      <c r="Q53" s="70" t="n"/>
      <c r="R53" s="69" t="n">
        <v>13</v>
      </c>
      <c r="S53" s="70" t="n"/>
      <c r="T53" s="70" t="n"/>
      <c r="U53" s="69" t="n">
        <v>12</v>
      </c>
      <c r="V53" s="70" t="n"/>
      <c r="W53" s="70" t="n"/>
      <c r="X53" s="69" t="n">
        <v>11</v>
      </c>
      <c r="Y53" s="70" t="n"/>
      <c r="Z53" s="70" t="n"/>
      <c r="AA53" s="69" t="n">
        <v>21</v>
      </c>
      <c r="AB53" s="70" t="n"/>
      <c r="AC53" s="70" t="n"/>
      <c r="AD53" s="69" t="n">
        <v>22</v>
      </c>
      <c r="AE53" s="70" t="n"/>
      <c r="AF53" s="70" t="n"/>
      <c r="AG53" s="69" t="n">
        <v>23</v>
      </c>
      <c r="AH53" s="70" t="n"/>
      <c r="AI53" s="70" t="n"/>
      <c r="AJ53" s="69" t="n">
        <v>24</v>
      </c>
      <c r="AK53" s="70" t="n"/>
      <c r="AL53" s="70" t="n"/>
      <c r="AM53" s="69" t="n">
        <v>25</v>
      </c>
      <c r="AN53" s="70" t="n"/>
      <c r="AO53" s="70" t="n"/>
      <c r="AP53" s="69" t="n">
        <v>26</v>
      </c>
      <c r="AQ53" s="70" t="n"/>
      <c r="AR53" s="70" t="n"/>
      <c r="AS53" s="69" t="n">
        <v>27</v>
      </c>
      <c r="AT53" s="70" t="n"/>
      <c r="AU53" s="70" t="n"/>
      <c r="AV53" s="69" t="n">
        <v>28</v>
      </c>
      <c r="AW53" s="70" t="n"/>
      <c r="AX53" s="71" t="n"/>
    </row>
    <row r="54" ht="21" customHeight="1">
      <c r="A54" s="72" t="inlineStr">
        <is>
          <t>X / I</t>
        </is>
      </c>
      <c r="B54" s="73" t="n"/>
      <c r="C54" s="74" t="n"/>
      <c r="D54" s="75" t="n"/>
      <c r="E54" s="75" t="n"/>
      <c r="F54" s="74" t="n"/>
      <c r="G54" s="75" t="n"/>
      <c r="H54" s="75" t="n"/>
      <c r="I54" s="74" t="n"/>
      <c r="J54" s="75" t="n"/>
      <c r="K54" s="75" t="n"/>
      <c r="L54" s="74" t="n"/>
      <c r="M54" s="75" t="n"/>
      <c r="N54" s="75" t="n"/>
      <c r="O54" s="74" t="n"/>
      <c r="P54" s="75" t="n"/>
      <c r="Q54" s="75" t="n"/>
      <c r="R54" s="74" t="n"/>
      <c r="S54" s="75" t="n"/>
      <c r="T54" s="75" t="n"/>
      <c r="U54" s="74" t="n"/>
      <c r="V54" s="75" t="n"/>
      <c r="W54" s="75" t="n"/>
      <c r="X54" s="74" t="n"/>
      <c r="Y54" s="75" t="n"/>
      <c r="Z54" s="75" t="n"/>
      <c r="AA54" s="74" t="n"/>
      <c r="AB54" s="75" t="n"/>
      <c r="AC54" s="75" t="n"/>
      <c r="AD54" s="74" t="n"/>
      <c r="AE54" s="75" t="n"/>
      <c r="AF54" s="75" t="n"/>
      <c r="AG54" s="74" t="n"/>
      <c r="AH54" s="75" t="n"/>
      <c r="AI54" s="75" t="n"/>
      <c r="AJ54" s="74" t="n"/>
      <c r="AK54" s="75" t="n"/>
      <c r="AL54" s="75" t="n"/>
      <c r="AM54" s="74" t="n"/>
      <c r="AN54" s="75" t="n"/>
      <c r="AO54" s="75" t="n"/>
      <c r="AP54" s="74" t="n"/>
      <c r="AQ54" s="75" t="n"/>
      <c r="AR54" s="75" t="n"/>
      <c r="AS54" s="74" t="n"/>
      <c r="AT54" s="75" t="n"/>
      <c r="AU54" s="75" t="n"/>
      <c r="AV54" s="74" t="n"/>
      <c r="AW54" s="75" t="n"/>
      <c r="AX54" s="76" t="n"/>
    </row>
    <row r="55" ht="18" customHeight="1">
      <c r="A55" s="67" t="inlineStr">
        <is>
          <t>MANDIBLE</t>
        </is>
      </c>
      <c r="B55" s="68" t="n"/>
      <c r="C55" s="69" t="n">
        <v>48</v>
      </c>
      <c r="D55" s="70" t="n"/>
      <c r="E55" s="70" t="n"/>
      <c r="F55" s="69" t="n">
        <v>47</v>
      </c>
      <c r="G55" s="70" t="n"/>
      <c r="H55" s="70" t="n"/>
      <c r="I55" s="69" t="n">
        <v>46</v>
      </c>
      <c r="J55" s="70" t="n"/>
      <c r="K55" s="70" t="n"/>
      <c r="L55" s="69" t="n">
        <v>45</v>
      </c>
      <c r="M55" s="70" t="n"/>
      <c r="N55" s="70" t="n"/>
      <c r="O55" s="69" t="n">
        <v>44</v>
      </c>
      <c r="P55" s="70" t="n"/>
      <c r="Q55" s="70" t="n"/>
      <c r="R55" s="69" t="n">
        <v>43</v>
      </c>
      <c r="S55" s="70" t="n"/>
      <c r="T55" s="70" t="n"/>
      <c r="U55" s="69" t="n">
        <v>42</v>
      </c>
      <c r="V55" s="70" t="n"/>
      <c r="W55" s="70" t="n"/>
      <c r="X55" s="69" t="n">
        <v>41</v>
      </c>
      <c r="Y55" s="70" t="n"/>
      <c r="Z55" s="70" t="n"/>
      <c r="AA55" s="69" t="n">
        <v>31</v>
      </c>
      <c r="AB55" s="70" t="n"/>
      <c r="AC55" s="70" t="n"/>
      <c r="AD55" s="69" t="n">
        <v>32</v>
      </c>
      <c r="AE55" s="70" t="n"/>
      <c r="AF55" s="70" t="n"/>
      <c r="AG55" s="69" t="n">
        <v>33</v>
      </c>
      <c r="AH55" s="70" t="n"/>
      <c r="AI55" s="70" t="n"/>
      <c r="AJ55" s="69" t="n">
        <v>34</v>
      </c>
      <c r="AK55" s="70" t="n"/>
      <c r="AL55" s="70" t="n"/>
      <c r="AM55" s="69" t="n">
        <v>35</v>
      </c>
      <c r="AN55" s="70" t="n"/>
      <c r="AO55" s="70" t="n"/>
      <c r="AP55" s="69" t="n">
        <v>36</v>
      </c>
      <c r="AQ55" s="70" t="n"/>
      <c r="AR55" s="70" t="n"/>
      <c r="AS55" s="69" t="n">
        <v>37</v>
      </c>
      <c r="AT55" s="70" t="n"/>
      <c r="AU55" s="70" t="n"/>
      <c r="AV55" s="69" t="n">
        <v>38</v>
      </c>
      <c r="AW55" s="70" t="n"/>
      <c r="AX55" s="71" t="n"/>
    </row>
    <row r="56" ht="21" customHeight="1">
      <c r="A56" s="72" t="inlineStr">
        <is>
          <t>X / I</t>
        </is>
      </c>
      <c r="B56" s="73" t="n"/>
      <c r="C56" s="74" t="n"/>
      <c r="D56" s="75" t="n"/>
      <c r="E56" s="75" t="n"/>
      <c r="F56" s="74" t="n"/>
      <c r="G56" s="75" t="n"/>
      <c r="H56" s="75" t="n"/>
      <c r="I56" s="74" t="n"/>
      <c r="J56" s="75" t="n"/>
      <c r="K56" s="75" t="n"/>
      <c r="L56" s="74" t="n"/>
      <c r="M56" s="75" t="n"/>
      <c r="N56" s="75" t="n"/>
      <c r="O56" s="74" t="n"/>
      <c r="P56" s="75" t="n"/>
      <c r="Q56" s="75" t="n"/>
      <c r="R56" s="74" t="n"/>
      <c r="S56" s="75" t="n"/>
      <c r="T56" s="75" t="n"/>
      <c r="U56" s="74" t="n"/>
      <c r="V56" s="75" t="n"/>
      <c r="W56" s="75" t="n"/>
      <c r="X56" s="74" t="n"/>
      <c r="Y56" s="75" t="n"/>
      <c r="Z56" s="75" t="n"/>
      <c r="AA56" s="74" t="n"/>
      <c r="AB56" s="75" t="n"/>
      <c r="AC56" s="75" t="n"/>
      <c r="AD56" s="74" t="n"/>
      <c r="AE56" s="75" t="n"/>
      <c r="AF56" s="75" t="n"/>
      <c r="AG56" s="74" t="n"/>
      <c r="AH56" s="75" t="n"/>
      <c r="AI56" s="75" t="n"/>
      <c r="AJ56" s="74" t="n"/>
      <c r="AK56" s="75" t="n"/>
      <c r="AL56" s="75" t="n"/>
      <c r="AM56" s="74" t="n"/>
      <c r="AN56" s="75" t="n"/>
      <c r="AO56" s="75" t="n"/>
      <c r="AP56" s="74" t="n"/>
      <c r="AQ56" s="75" t="n"/>
      <c r="AR56" s="75" t="n"/>
      <c r="AS56" s="74" t="n"/>
      <c r="AT56" s="75" t="n"/>
      <c r="AU56" s="75" t="n"/>
      <c r="AV56" s="74" t="n"/>
      <c r="AW56" s="75" t="n"/>
      <c r="AX56" s="76" t="n"/>
    </row>
  </sheetData>
  <mergeCells count="187">
    <mergeCell ref="I54:K54"/>
    <mergeCell ref="AD28:AF28"/>
    <mergeCell ref="C31:E31"/>
    <mergeCell ref="AP50:AR50"/>
    <mergeCell ref="C4:AX4"/>
    <mergeCell ref="O31:Q31"/>
    <mergeCell ref="I56:K56"/>
    <mergeCell ref="A32:A36"/>
    <mergeCell ref="A54:B54"/>
    <mergeCell ref="C3:I3"/>
    <mergeCell ref="AV28:AX28"/>
    <mergeCell ref="R3:W3"/>
    <mergeCell ref="F31:H31"/>
    <mergeCell ref="O56:Q56"/>
    <mergeCell ref="L9:N9"/>
    <mergeCell ref="AV9:AX9"/>
    <mergeCell ref="F9:H9"/>
    <mergeCell ref="AD53:AF53"/>
    <mergeCell ref="A56:B56"/>
    <mergeCell ref="AI1:AL1"/>
    <mergeCell ref="I50:K50"/>
    <mergeCell ref="D5:I5"/>
    <mergeCell ref="AD55:AF55"/>
    <mergeCell ref="X31:Z31"/>
    <mergeCell ref="U50:W50"/>
    <mergeCell ref="AO3:AU3"/>
    <mergeCell ref="AD9:AF9"/>
    <mergeCell ref="AJ31:AL31"/>
    <mergeCell ref="AH3:AJ3"/>
    <mergeCell ref="A53:B53"/>
    <mergeCell ref="AB5:AG5"/>
    <mergeCell ref="AH5:AJ5"/>
    <mergeCell ref="AS50:AU50"/>
    <mergeCell ref="O9:Q9"/>
    <mergeCell ref="A28:B28"/>
    <mergeCell ref="AN5:AS5"/>
    <mergeCell ref="AG9:AI9"/>
    <mergeCell ref="A10:A15"/>
    <mergeCell ref="D6:I6"/>
    <mergeCell ref="A9:B9"/>
    <mergeCell ref="AS9:AU9"/>
    <mergeCell ref="P6:U6"/>
    <mergeCell ref="I28:K28"/>
    <mergeCell ref="AM9:AO9"/>
    <mergeCell ref="F50:H50"/>
    <mergeCell ref="AG53:AI53"/>
    <mergeCell ref="D7:I7"/>
    <mergeCell ref="O50:Q50"/>
    <mergeCell ref="J7:L7"/>
    <mergeCell ref="AS2:AX2"/>
    <mergeCell ref="P7:U7"/>
    <mergeCell ref="L50:N50"/>
    <mergeCell ref="AS28:AU28"/>
    <mergeCell ref="AA31:AC31"/>
    <mergeCell ref="AM31:AO31"/>
    <mergeCell ref="AN1:AR1"/>
    <mergeCell ref="X50:Z50"/>
    <mergeCell ref="R53:T53"/>
    <mergeCell ref="U54:W54"/>
    <mergeCell ref="U55:W55"/>
    <mergeCell ref="AM55:AO55"/>
    <mergeCell ref="AN7:AS7"/>
    <mergeCell ref="AD50:AF50"/>
    <mergeCell ref="AS53:AU53"/>
    <mergeCell ref="X9:Z9"/>
    <mergeCell ref="R9:T9"/>
    <mergeCell ref="AP53:AR53"/>
    <mergeCell ref="AJ9:AL9"/>
    <mergeCell ref="AP28:AR28"/>
    <mergeCell ref="AS55:AU55"/>
    <mergeCell ref="AJ50:AL50"/>
    <mergeCell ref="J5:L5"/>
    <mergeCell ref="AG54:AI54"/>
    <mergeCell ref="AT6:AV6"/>
    <mergeCell ref="AV50:AX50"/>
    <mergeCell ref="V5:X5"/>
    <mergeCell ref="AS54:AU54"/>
    <mergeCell ref="L28:N28"/>
    <mergeCell ref="AG50:AI50"/>
    <mergeCell ref="AP9:AR9"/>
    <mergeCell ref="AV3:AX3"/>
    <mergeCell ref="AG56:AI56"/>
    <mergeCell ref="AP54:AR54"/>
    <mergeCell ref="AV55:AX55"/>
    <mergeCell ref="R31:T31"/>
    <mergeCell ref="F55:H55"/>
    <mergeCell ref="AE1:AH1"/>
    <mergeCell ref="AP55:AR55"/>
    <mergeCell ref="AS56:AU56"/>
    <mergeCell ref="J6:L6"/>
    <mergeCell ref="C50:E50"/>
    <mergeCell ref="AE2:AG2"/>
    <mergeCell ref="AT5:AV5"/>
    <mergeCell ref="C55:E55"/>
    <mergeCell ref="X53:Z53"/>
    <mergeCell ref="I53:K53"/>
    <mergeCell ref="C1:Z1"/>
    <mergeCell ref="C9:E9"/>
    <mergeCell ref="AA53:AC53"/>
    <mergeCell ref="AH2:AN2"/>
    <mergeCell ref="AP31:AR31"/>
    <mergeCell ref="L55:N55"/>
    <mergeCell ref="U53:W53"/>
    <mergeCell ref="AH6:AJ6"/>
    <mergeCell ref="C2:E2"/>
    <mergeCell ref="R54:T54"/>
    <mergeCell ref="X55:Z55"/>
    <mergeCell ref="I55:K55"/>
    <mergeCell ref="U28:W28"/>
    <mergeCell ref="L54:N54"/>
    <mergeCell ref="AV53:AX53"/>
    <mergeCell ref="AD54:AF54"/>
    <mergeCell ref="R50:T50"/>
    <mergeCell ref="AG28:AI28"/>
    <mergeCell ref="AO2:AR2"/>
    <mergeCell ref="R56:T56"/>
    <mergeCell ref="AA50:AC50"/>
    <mergeCell ref="V7:X7"/>
    <mergeCell ref="L56:N56"/>
    <mergeCell ref="A55:B55"/>
    <mergeCell ref="AA55:AC55"/>
    <mergeCell ref="AB7:AG7"/>
    <mergeCell ref="AM50:AO50"/>
    <mergeCell ref="AH7:AJ7"/>
    <mergeCell ref="AJ54:AL54"/>
    <mergeCell ref="C28:E28"/>
    <mergeCell ref="C52:AX52"/>
    <mergeCell ref="AV54:AX54"/>
    <mergeCell ref="I31:K31"/>
    <mergeCell ref="K3:P3"/>
    <mergeCell ref="F53:H53"/>
    <mergeCell ref="AG55:AI55"/>
    <mergeCell ref="AJ56:AL56"/>
    <mergeCell ref="U31:W31"/>
    <mergeCell ref="Y3:AD3"/>
    <mergeCell ref="O53:Q53"/>
    <mergeCell ref="R28:T28"/>
    <mergeCell ref="L53:N53"/>
    <mergeCell ref="AS31:AU31"/>
    <mergeCell ref="AM56:AO56"/>
    <mergeCell ref="A44:A49"/>
    <mergeCell ref="C54:E54"/>
    <mergeCell ref="X28:Z28"/>
    <mergeCell ref="O54:Q54"/>
    <mergeCell ref="AJ28:AL28"/>
    <mergeCell ref="AD31:AF31"/>
    <mergeCell ref="C56:E56"/>
    <mergeCell ref="R55:T55"/>
    <mergeCell ref="U56:W56"/>
    <mergeCell ref="A23:A27"/>
    <mergeCell ref="F2:T2"/>
    <mergeCell ref="V6:X6"/>
    <mergeCell ref="AA54:AC54"/>
    <mergeCell ref="O55:Q55"/>
    <mergeCell ref="AJ53:AL53"/>
    <mergeCell ref="U2:V2"/>
    <mergeCell ref="AM54:AO54"/>
    <mergeCell ref="F28:H28"/>
    <mergeCell ref="AA56:AC56"/>
    <mergeCell ref="L31:N31"/>
    <mergeCell ref="F56:H56"/>
    <mergeCell ref="AJ55:AL55"/>
    <mergeCell ref="AS1:AV1"/>
    <mergeCell ref="A50:B50"/>
    <mergeCell ref="X54:Z54"/>
    <mergeCell ref="C53:E53"/>
    <mergeCell ref="P5:U5"/>
    <mergeCell ref="I9:K9"/>
    <mergeCell ref="AD56:AF56"/>
    <mergeCell ref="X56:Z56"/>
    <mergeCell ref="U9:W9"/>
    <mergeCell ref="AV31:AX31"/>
    <mergeCell ref="AP56:AR56"/>
    <mergeCell ref="AB6:AG6"/>
    <mergeCell ref="AT7:AV7"/>
    <mergeCell ref="AM53:AO53"/>
    <mergeCell ref="F54:H54"/>
    <mergeCell ref="O28:Q28"/>
    <mergeCell ref="AN6:AS6"/>
    <mergeCell ref="AA28:AC28"/>
    <mergeCell ref="W2:AD2"/>
    <mergeCell ref="AA9:AC9"/>
    <mergeCell ref="AM28:AO28"/>
    <mergeCell ref="AV56:AX56"/>
    <mergeCell ref="AG31:AI31"/>
    <mergeCell ref="AE3:AG3"/>
    <mergeCell ref="A31:B31"/>
  </mergeCells>
  <conditionalFormatting sqref="C10:E27">
    <cfRule type="expression" priority="1" dxfId="0" stopIfTrue="1">
      <formula>$C$54="X"</formula>
    </cfRule>
  </conditionalFormatting>
  <conditionalFormatting sqref="C9:E9 C28:E28">
    <cfRule type="expression" priority="2" dxfId="1" stopIfTrue="1">
      <formula>$C$54="X"</formula>
    </cfRule>
    <cfRule type="expression" priority="3" dxfId="2" stopIfTrue="1">
      <formula>$C$54="I"</formula>
    </cfRule>
  </conditionalFormatting>
  <conditionalFormatting sqref="F10:H27">
    <cfRule type="expression" priority="4" dxfId="0" stopIfTrue="1">
      <formula>$F$54="X"</formula>
    </cfRule>
  </conditionalFormatting>
  <conditionalFormatting sqref="F9:H9 F28:H28">
    <cfRule type="expression" priority="5" dxfId="1" stopIfTrue="1">
      <formula>$F$54="X"</formula>
    </cfRule>
    <cfRule type="expression" priority="6" dxfId="2" stopIfTrue="1">
      <formula>$F$54="I"</formula>
    </cfRule>
  </conditionalFormatting>
  <conditionalFormatting sqref="I10:K27">
    <cfRule type="expression" priority="7" dxfId="0" stopIfTrue="1">
      <formula>$I$54="X"</formula>
    </cfRule>
  </conditionalFormatting>
  <conditionalFormatting sqref="I9:K9 I28:K28">
    <cfRule type="expression" priority="8" dxfId="1" stopIfTrue="1">
      <formula>$I$54="X"</formula>
    </cfRule>
    <cfRule type="expression" priority="9" dxfId="2" stopIfTrue="1">
      <formula>$I$54="I"</formula>
    </cfRule>
  </conditionalFormatting>
  <conditionalFormatting sqref="L10:N27">
    <cfRule type="expression" priority="10" dxfId="0" stopIfTrue="1">
      <formula>$L$54="X"</formula>
    </cfRule>
  </conditionalFormatting>
  <conditionalFormatting sqref="L9:N9 L28:N28">
    <cfRule type="expression" priority="11" dxfId="1" stopIfTrue="1">
      <formula>$L$54="X"</formula>
    </cfRule>
    <cfRule type="expression" priority="12" dxfId="2" stopIfTrue="1">
      <formula>$L$54="I"</formula>
    </cfRule>
  </conditionalFormatting>
  <conditionalFormatting sqref="O10:Q27">
    <cfRule type="expression" priority="13" dxfId="0" stopIfTrue="1">
      <formula>$O$54="X"</formula>
    </cfRule>
  </conditionalFormatting>
  <conditionalFormatting sqref="O9:Q9 O28:Q28">
    <cfRule type="expression" priority="14" dxfId="1" stopIfTrue="1">
      <formula>$O$54="X"</formula>
    </cfRule>
    <cfRule type="expression" priority="15" dxfId="2" stopIfTrue="1">
      <formula>$O$54="I"</formula>
    </cfRule>
  </conditionalFormatting>
  <conditionalFormatting sqref="R10:T27">
    <cfRule type="expression" priority="16" dxfId="0" stopIfTrue="1">
      <formula>$R$54="X"</formula>
    </cfRule>
  </conditionalFormatting>
  <conditionalFormatting sqref="R9:T9 R28:T28">
    <cfRule type="expression" priority="17" dxfId="1" stopIfTrue="1">
      <formula>$R$54="X"</formula>
    </cfRule>
    <cfRule type="expression" priority="18" dxfId="2" stopIfTrue="1">
      <formula>$R$54="I"</formula>
    </cfRule>
  </conditionalFormatting>
  <conditionalFormatting sqref="U10:W27">
    <cfRule type="expression" priority="19" dxfId="0" stopIfTrue="1">
      <formula>$U$54="X"</formula>
    </cfRule>
  </conditionalFormatting>
  <conditionalFormatting sqref="U9:W9 U28:W28">
    <cfRule type="expression" priority="20" dxfId="1" stopIfTrue="1">
      <formula>$U$54="X"</formula>
    </cfRule>
    <cfRule type="expression" priority="21" dxfId="2" stopIfTrue="1">
      <formula>$U$54="I"</formula>
    </cfRule>
  </conditionalFormatting>
  <conditionalFormatting sqref="X10:Z27">
    <cfRule type="expression" priority="22" dxfId="0" stopIfTrue="1">
      <formula>$X$54="X"</formula>
    </cfRule>
  </conditionalFormatting>
  <conditionalFormatting sqref="X9:Z9 X28:Z28">
    <cfRule type="expression" priority="23" dxfId="1" stopIfTrue="1">
      <formula>$X$54="X"</formula>
    </cfRule>
    <cfRule type="expression" priority="24" dxfId="2" stopIfTrue="1">
      <formula>$X$54="I"</formula>
    </cfRule>
  </conditionalFormatting>
  <conditionalFormatting sqref="AA10:AC27">
    <cfRule type="expression" priority="25" dxfId="0" stopIfTrue="1">
      <formula>$AA$54="X"</formula>
    </cfRule>
  </conditionalFormatting>
  <conditionalFormatting sqref="AA9:AC9 AA28:AC28">
    <cfRule type="expression" priority="26" dxfId="1" stopIfTrue="1">
      <formula>$AA$54="X"</formula>
    </cfRule>
    <cfRule type="expression" priority="27" dxfId="2" stopIfTrue="1">
      <formula>$AA$54="I"</formula>
    </cfRule>
  </conditionalFormatting>
  <conditionalFormatting sqref="AD10:AF27">
    <cfRule type="expression" priority="28" dxfId="0" stopIfTrue="1">
      <formula>$AD$54="X"</formula>
    </cfRule>
  </conditionalFormatting>
  <conditionalFormatting sqref="AD9:AF9 AD28:AF28">
    <cfRule type="expression" priority="29" dxfId="1" stopIfTrue="1">
      <formula>$AD$54="X"</formula>
    </cfRule>
    <cfRule type="expression" priority="30" dxfId="2" stopIfTrue="1">
      <formula>$AD$54="I"</formula>
    </cfRule>
  </conditionalFormatting>
  <conditionalFormatting sqref="AG10:AI27">
    <cfRule type="expression" priority="31" dxfId="0" stopIfTrue="1">
      <formula>$AG$54="X"</formula>
    </cfRule>
  </conditionalFormatting>
  <conditionalFormatting sqref="AG9:AI9 AG28:AI28">
    <cfRule type="expression" priority="32" dxfId="1" stopIfTrue="1">
      <formula>$AG$54="X"</formula>
    </cfRule>
    <cfRule type="expression" priority="33" dxfId="2" stopIfTrue="1">
      <formula>$AG$54="I"</formula>
    </cfRule>
  </conditionalFormatting>
  <conditionalFormatting sqref="AJ10:AL27">
    <cfRule type="expression" priority="34" dxfId="0" stopIfTrue="1">
      <formula>$AJ$54="X"</formula>
    </cfRule>
  </conditionalFormatting>
  <conditionalFormatting sqref="AJ9:AL9 AJ28:AL28">
    <cfRule type="expression" priority="35" dxfId="1" stopIfTrue="1">
      <formula>$AJ$54="X"</formula>
    </cfRule>
    <cfRule type="expression" priority="36" dxfId="2" stopIfTrue="1">
      <formula>$AJ$54="I"</formula>
    </cfRule>
  </conditionalFormatting>
  <conditionalFormatting sqref="AM10:AO27">
    <cfRule type="expression" priority="37" dxfId="0" stopIfTrue="1">
      <formula>$AM$54="X"</formula>
    </cfRule>
  </conditionalFormatting>
  <conditionalFormatting sqref="AM9:AO9 AM28:AO28">
    <cfRule type="expression" priority="38" dxfId="1" stopIfTrue="1">
      <formula>$AM$54="X"</formula>
    </cfRule>
    <cfRule type="expression" priority="39" dxfId="2" stopIfTrue="1">
      <formula>$AM$54="I"</formula>
    </cfRule>
  </conditionalFormatting>
  <conditionalFormatting sqref="AP10:AR27">
    <cfRule type="expression" priority="40" dxfId="0" stopIfTrue="1">
      <formula>$AP$54="X"</formula>
    </cfRule>
  </conditionalFormatting>
  <conditionalFormatting sqref="AP9:AR9 AP28:AR28">
    <cfRule type="expression" priority="41" dxfId="1" stopIfTrue="1">
      <formula>$AP$54="X"</formula>
    </cfRule>
    <cfRule type="expression" priority="42" dxfId="2" stopIfTrue="1">
      <formula>$AP$54="I"</formula>
    </cfRule>
  </conditionalFormatting>
  <conditionalFormatting sqref="AS10:AU27">
    <cfRule type="expression" priority="43" dxfId="0" stopIfTrue="1">
      <formula>$AS$54="X"</formula>
    </cfRule>
  </conditionalFormatting>
  <conditionalFormatting sqref="AS9:AU9 AS28:AU28">
    <cfRule type="expression" priority="44" dxfId="1" stopIfTrue="1">
      <formula>$AS$54="X"</formula>
    </cfRule>
    <cfRule type="expression" priority="45" dxfId="2" stopIfTrue="1">
      <formula>$AS$54="I"</formula>
    </cfRule>
  </conditionalFormatting>
  <conditionalFormatting sqref="AV10:AX27">
    <cfRule type="expression" priority="46" dxfId="0" stopIfTrue="1">
      <formula>$AV$54="X"</formula>
    </cfRule>
  </conditionalFormatting>
  <conditionalFormatting sqref="AV9:AX9 AV28:AX28">
    <cfRule type="expression" priority="47" dxfId="1" stopIfTrue="1">
      <formula>$AV$54="X"</formula>
    </cfRule>
    <cfRule type="expression" priority="48" dxfId="2" stopIfTrue="1">
      <formula>$AV$54="I"</formula>
    </cfRule>
  </conditionalFormatting>
  <conditionalFormatting sqref="C32:E49">
    <cfRule type="expression" priority="49" dxfId="0" stopIfTrue="1">
      <formula>$C$56="X"</formula>
    </cfRule>
  </conditionalFormatting>
  <conditionalFormatting sqref="C31:E31 C50:E50">
    <cfRule type="expression" priority="50" dxfId="1" stopIfTrue="1">
      <formula>$C$56="X"</formula>
    </cfRule>
    <cfRule type="expression" priority="51" dxfId="2" stopIfTrue="1">
      <formula>$C$56="I"</formula>
    </cfRule>
  </conditionalFormatting>
  <conditionalFormatting sqref="F32:H49">
    <cfRule type="expression" priority="52" dxfId="0" stopIfTrue="1">
      <formula>$F$56="X"</formula>
    </cfRule>
  </conditionalFormatting>
  <conditionalFormatting sqref="F31:H31 F50:H50">
    <cfRule type="expression" priority="53" dxfId="1" stopIfTrue="1">
      <formula>$F$56="X"</formula>
    </cfRule>
    <cfRule type="expression" priority="54" dxfId="2" stopIfTrue="1">
      <formula>$F$56="I"</formula>
    </cfRule>
  </conditionalFormatting>
  <conditionalFormatting sqref="I32:K49">
    <cfRule type="expression" priority="55" dxfId="0" stopIfTrue="1">
      <formula>$I$56="X"</formula>
    </cfRule>
  </conditionalFormatting>
  <conditionalFormatting sqref="I31:K31 I50:K50">
    <cfRule type="expression" priority="56" dxfId="1" stopIfTrue="1">
      <formula>$I$56="X"</formula>
    </cfRule>
    <cfRule type="expression" priority="57" dxfId="2" stopIfTrue="1">
      <formula>$I$56="I"</formula>
    </cfRule>
  </conditionalFormatting>
  <conditionalFormatting sqref="L32:N49">
    <cfRule type="expression" priority="58" dxfId="0" stopIfTrue="1">
      <formula>$L$56="X"</formula>
    </cfRule>
  </conditionalFormatting>
  <conditionalFormatting sqref="L31:N31 L50:N50">
    <cfRule type="expression" priority="59" dxfId="1" stopIfTrue="1">
      <formula>$L$56="X"</formula>
    </cfRule>
    <cfRule type="expression" priority="60" dxfId="2" stopIfTrue="1">
      <formula>$L$56="I"</formula>
    </cfRule>
  </conditionalFormatting>
  <conditionalFormatting sqref="O32:Q49">
    <cfRule type="expression" priority="61" dxfId="0" stopIfTrue="1">
      <formula>$O$56="X"</formula>
    </cfRule>
  </conditionalFormatting>
  <conditionalFormatting sqref="O31:Q31 O50:Q50">
    <cfRule type="expression" priority="62" dxfId="1" stopIfTrue="1">
      <formula>$O$56="X"</formula>
    </cfRule>
    <cfRule type="expression" priority="63" dxfId="2" stopIfTrue="1">
      <formula>$O$56="I"</formula>
    </cfRule>
  </conditionalFormatting>
  <conditionalFormatting sqref="R32:T49">
    <cfRule type="expression" priority="64" dxfId="0" stopIfTrue="1">
      <formula>$R$56="X"</formula>
    </cfRule>
  </conditionalFormatting>
  <conditionalFormatting sqref="R31:T31 R50:T50">
    <cfRule type="expression" priority="65" dxfId="1" stopIfTrue="1">
      <formula>$R$56="X"</formula>
    </cfRule>
    <cfRule type="expression" priority="66" dxfId="2" stopIfTrue="1">
      <formula>$R$56="I"</formula>
    </cfRule>
  </conditionalFormatting>
  <conditionalFormatting sqref="U32:W49">
    <cfRule type="expression" priority="67" dxfId="0" stopIfTrue="1">
      <formula>$U$56="X"</formula>
    </cfRule>
  </conditionalFormatting>
  <conditionalFormatting sqref="U31:W31 U50:W50">
    <cfRule type="expression" priority="68" dxfId="1" stopIfTrue="1">
      <formula>$U$56="X"</formula>
    </cfRule>
    <cfRule type="expression" priority="69" dxfId="2" stopIfTrue="1">
      <formula>$U$56="I"</formula>
    </cfRule>
  </conditionalFormatting>
  <conditionalFormatting sqref="X32:Z49">
    <cfRule type="expression" priority="70" dxfId="0" stopIfTrue="1">
      <formula>$X$56="X"</formula>
    </cfRule>
  </conditionalFormatting>
  <conditionalFormatting sqref="X31:Z31 X50:Z50">
    <cfRule type="expression" priority="71" dxfId="1" stopIfTrue="1">
      <formula>$X$56="X"</formula>
    </cfRule>
    <cfRule type="expression" priority="72" dxfId="2" stopIfTrue="1">
      <formula>$X$56="I"</formula>
    </cfRule>
  </conditionalFormatting>
  <conditionalFormatting sqref="AA32:AC49">
    <cfRule type="expression" priority="73" dxfId="0" stopIfTrue="1">
      <formula>$AA$56="X"</formula>
    </cfRule>
  </conditionalFormatting>
  <conditionalFormatting sqref="AA31:AC31 AA50:AC50">
    <cfRule type="expression" priority="74" dxfId="1" stopIfTrue="1">
      <formula>$AA$56="X"</formula>
    </cfRule>
    <cfRule type="expression" priority="75" dxfId="2" stopIfTrue="1">
      <formula>$AA$56="I"</formula>
    </cfRule>
  </conditionalFormatting>
  <conditionalFormatting sqref="AD32:AF49">
    <cfRule type="expression" priority="76" dxfId="0" stopIfTrue="1">
      <formula>$AD$56="X"</formula>
    </cfRule>
  </conditionalFormatting>
  <conditionalFormatting sqref="AD31:AF31 AD50:AF50">
    <cfRule type="expression" priority="77" dxfId="1" stopIfTrue="1">
      <formula>$AD$56="X"</formula>
    </cfRule>
    <cfRule type="expression" priority="78" dxfId="2" stopIfTrue="1">
      <formula>$AD$56="I"</formula>
    </cfRule>
  </conditionalFormatting>
  <conditionalFormatting sqref="AG32:AI49">
    <cfRule type="expression" priority="79" dxfId="0" stopIfTrue="1">
      <formula>$AG$56="X"</formula>
    </cfRule>
  </conditionalFormatting>
  <conditionalFormatting sqref="AG31:AI31 AG50:AI50">
    <cfRule type="expression" priority="80" dxfId="1" stopIfTrue="1">
      <formula>$AG$56="X"</formula>
    </cfRule>
    <cfRule type="expression" priority="81" dxfId="2" stopIfTrue="1">
      <formula>$AG$56="I"</formula>
    </cfRule>
  </conditionalFormatting>
  <conditionalFormatting sqref="AJ32:AL49">
    <cfRule type="expression" priority="82" dxfId="0" stopIfTrue="1">
      <formula>$AJ$56="X"</formula>
    </cfRule>
  </conditionalFormatting>
  <conditionalFormatting sqref="AJ31:AL31 AJ50:AL50">
    <cfRule type="expression" priority="83" dxfId="1" stopIfTrue="1">
      <formula>$AJ$56="X"</formula>
    </cfRule>
    <cfRule type="expression" priority="84" dxfId="2" stopIfTrue="1">
      <formula>$AJ$56="I"</formula>
    </cfRule>
  </conditionalFormatting>
  <conditionalFormatting sqref="AM32:AO49">
    <cfRule type="expression" priority="85" dxfId="0" stopIfTrue="1">
      <formula>$AM$56="X"</formula>
    </cfRule>
  </conditionalFormatting>
  <conditionalFormatting sqref="AM31:AO31 AM50:AO50">
    <cfRule type="expression" priority="86" dxfId="1" stopIfTrue="1">
      <formula>$AM$56="X"</formula>
    </cfRule>
    <cfRule type="expression" priority="87" dxfId="2" stopIfTrue="1">
      <formula>$AM$56="I"</formula>
    </cfRule>
  </conditionalFormatting>
  <conditionalFormatting sqref="AP32:AR49">
    <cfRule type="expression" priority="88" dxfId="0" stopIfTrue="1">
      <formula>$AP$56="X"</formula>
    </cfRule>
  </conditionalFormatting>
  <conditionalFormatting sqref="AP31:AR31 AP50:AR50">
    <cfRule type="expression" priority="89" dxfId="1" stopIfTrue="1">
      <formula>$AP$56="X"</formula>
    </cfRule>
    <cfRule type="expression" priority="90" dxfId="2" stopIfTrue="1">
      <formula>$AP$56="I"</formula>
    </cfRule>
  </conditionalFormatting>
  <conditionalFormatting sqref="AS32:AU49">
    <cfRule type="expression" priority="91" dxfId="0" stopIfTrue="1">
      <formula>$AS$56="X"</formula>
    </cfRule>
  </conditionalFormatting>
  <conditionalFormatting sqref="AS31:AU31 AS50:AU50">
    <cfRule type="expression" priority="92" dxfId="1" stopIfTrue="1">
      <formula>$AS$56="X"</formula>
    </cfRule>
    <cfRule type="expression" priority="93" dxfId="2" stopIfTrue="1">
      <formula>$AS$56="I"</formula>
    </cfRule>
  </conditionalFormatting>
  <conditionalFormatting sqref="AV32:AX49">
    <cfRule type="expression" priority="94" dxfId="0" stopIfTrue="1">
      <formula>$AV$56="X"</formula>
    </cfRule>
  </conditionalFormatting>
  <conditionalFormatting sqref="AV31:AX31 AV50:AX50">
    <cfRule type="expression" priority="95" dxfId="1" stopIfTrue="1">
      <formula>$AV$56="X"</formula>
    </cfRule>
    <cfRule type="expression" priority="96" dxfId="2" stopIfTrue="1">
      <formula>$AV$56="I"</formula>
    </cfRule>
  </conditionalFormatting>
  <conditionalFormatting sqref="C14:AX14 C24:AX24 C35:AX35 C45:AX45">
    <cfRule type="cellIs" priority="97" operator="greaterThanOrEqual" dxfId="3">
      <formula>6</formula>
    </cfRule>
    <cfRule type="cellIs" priority="98" operator="between" dxfId="4">
      <formula>4</formula>
      <formula>5</formula>
    </cfRule>
  </conditionalFormatting>
  <dataValidations count="6">
    <dataValidation sqref="C14:AX14 C24:AX24 C35:AX35 C45:AX45" showDropDown="0" showInputMessage="0" showErrorMessage="1" allowBlank="1" errorTitle="Probing depth" error="Enter PD in mm, 0 to 15." type="whole" errorStyle="stop" operator="between">
      <formula1>0</formula1>
      <formula2>15</formula2>
    </dataValidation>
    <dataValidation sqref="C13:AX13 C25:AX25 C34:AX34 C46:AX46" showDropDown="0" showInputMessage="0" showErrorMessage="1" allowBlank="1" errorTitle="CEJ-GM" error="Enter CEJ-GM in mm: + for recession, - when the margin is above the CEJ (-5 to 15)." type="whole" errorStyle="stop" operator="between">
      <formula1>-5</formula1>
      <formula2>15</formula2>
    </dataValidation>
    <dataValidation sqref="C10:AX10 C49:AX49" showDropDown="0" showInputMessage="0" showErrorMessage="1" allowBlank="1" errorTitle="Keratinized gingiva" error="Enter KG width in mm, 0 to 15." type="whole" errorStyle="stop" operator="between">
      <formula1>0</formula1>
      <formula2>15</formula2>
    </dataValidation>
    <dataValidation sqref="C12:AX12 C26:AX26 C33:AX33 C47:AX47" showDropDown="0" showInputMessage="0" showErrorMessage="1" allowBlank="1" errorTitle="Bleeding on probing" error="Use + (bleeding) or - (none)." type="list" errorStyle="stop">
      <formula1>"+,-"</formula1>
    </dataValidation>
    <dataValidation sqref="C11:AX11 C27:AX27 C32:AX32 C48:AX48" showDropDown="0" showInputMessage="0" showErrorMessage="1" allowBlank="1" errorTitle="Plaque" error="Use / for plaque." type="list" errorStyle="stop">
      <formula1>"/"</formula1>
    </dataValidation>
    <dataValidation sqref="C54:AX54 C56:AX56" showDropDown="0" showInputMessage="0" showErrorMessage="1" allowBlank="1" errorTitle="Missing tooth or implant" error="Type X under a missing tooth, I under an implant, or leave it empty." type="list">
      <formula1>"X,I"</formula1>
    </dataValidation>
  </dataValidations>
  <printOptions horizontalCentered="1"/>
  <pageMargins left="0.35" right="0.35" top="0.4" bottom="0.4" header="0.2" footer="0.2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0A46C"/>
    <outlinePr summaryBelow="1" summaryRight="1"/>
    <pageSetUpPr fitToPage="1"/>
  </sheetPr>
  <dimension ref="A1:BC56"/>
  <sheetViews>
    <sheetView showGridLines="0" zoomScale="100" workbookViewId="0">
      <selection activeCell="A1" sqref="A1"/>
    </sheetView>
  </sheetViews>
  <sheetFormatPr baseColWidth="8" defaultRowHeight="15"/>
  <cols>
    <col width="6.5" customWidth="1" min="1" max="1"/>
    <col width="8.5" customWidth="1" min="2" max="2"/>
    <col width="2.83" customWidth="1" min="3" max="3"/>
    <col width="2.83" customWidth="1" min="4" max="4"/>
    <col width="2.83" customWidth="1" min="5" max="5"/>
    <col width="2.83" customWidth="1" min="6" max="6"/>
    <col width="2.83" customWidth="1" min="7" max="7"/>
    <col width="2.83" customWidth="1" min="8" max="8"/>
    <col width="2.83" customWidth="1" min="9" max="9"/>
    <col width="2.83" customWidth="1" min="10" max="10"/>
    <col width="2.83" customWidth="1" min="11" max="11"/>
    <col width="2.83" customWidth="1" min="12" max="12"/>
    <col width="2.83" customWidth="1" min="13" max="13"/>
    <col width="2.83" customWidth="1" min="14" max="14"/>
    <col width="2.83" customWidth="1" min="15" max="15"/>
    <col width="2.83" customWidth="1" min="16" max="16"/>
    <col width="2.83" customWidth="1" min="17" max="17"/>
    <col width="2.83" customWidth="1" min="18" max="18"/>
    <col width="2.83" customWidth="1" min="19" max="19"/>
    <col width="2.83" customWidth="1" min="20" max="20"/>
    <col width="2.83" customWidth="1" min="21" max="21"/>
    <col width="2.83" customWidth="1" min="22" max="22"/>
    <col width="2.83" customWidth="1" min="23" max="23"/>
    <col width="2.83" customWidth="1" min="24" max="24"/>
    <col width="2.83" customWidth="1" min="25" max="25"/>
    <col width="2.83" customWidth="1" min="26" max="26"/>
    <col width="2.83" customWidth="1" min="27" max="27"/>
    <col width="2.83" customWidth="1" min="28" max="28"/>
    <col width="2.83" customWidth="1" min="29" max="29"/>
    <col width="2.83" customWidth="1" min="30" max="30"/>
    <col width="2.83" customWidth="1" min="31" max="31"/>
    <col width="2.83" customWidth="1" min="32" max="32"/>
    <col width="2.83" customWidth="1" min="33" max="33"/>
    <col width="2.83" customWidth="1" min="34" max="34"/>
    <col width="2.83" customWidth="1" min="35" max="35"/>
    <col width="2.83" customWidth="1" min="36" max="36"/>
    <col width="2.83" customWidth="1" min="37" max="37"/>
    <col width="2.83" customWidth="1" min="38" max="38"/>
    <col width="2.83" customWidth="1" min="39" max="39"/>
    <col width="2.83" customWidth="1" min="40" max="40"/>
    <col width="2.83" customWidth="1" min="41" max="41"/>
    <col width="2.83" customWidth="1" min="42" max="42"/>
    <col width="2.83" customWidth="1" min="43" max="43"/>
    <col width="2.83" customWidth="1" min="44" max="44"/>
    <col width="2.83" customWidth="1" min="45" max="45"/>
    <col width="2.83" customWidth="1" min="46" max="46"/>
    <col width="2.83" customWidth="1" min="47" max="47"/>
    <col width="2.83" customWidth="1" min="48" max="48"/>
    <col width="2.83" customWidth="1" min="49" max="49"/>
    <col width="2.83" customWidth="1" min="50" max="50"/>
    <col width="8.5" customWidth="1" min="51" max="51"/>
    <col width="3" customWidth="1" min="52" max="52"/>
    <col width="18" customWidth="1" min="53" max="53"/>
    <col width="9" customWidth="1" min="54" max="54"/>
    <col width="9" customWidth="1" min="55" max="55"/>
  </cols>
  <sheetData>
    <row r="1" ht="30" customHeight="1">
      <c r="A1" s="1" t="n"/>
      <c r="B1" s="1" t="n"/>
      <c r="C1" s="2" t="inlineStr">
        <is>
          <t>PERIODONTAL CHART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1" t="n"/>
      <c r="AB1" s="1" t="n"/>
      <c r="AC1" s="1" t="n"/>
      <c r="AD1" s="1" t="n"/>
      <c r="AE1" s="3" t="inlineStr">
        <is>
          <t>BOP</t>
        </is>
      </c>
      <c r="AF1" s="3" t="n"/>
      <c r="AG1" s="3" t="n"/>
      <c r="AH1" s="3" t="n"/>
      <c r="AI1" s="4">
        <f>BB13</f>
        <v/>
      </c>
      <c r="AJ1" s="5" t="n"/>
      <c r="AK1" s="5" t="n"/>
      <c r="AL1" s="5" t="n"/>
      <c r="AM1" s="1" t="n"/>
      <c r="AN1" s="3" t="inlineStr">
        <is>
          <t>Plaque</t>
        </is>
      </c>
      <c r="AO1" s="3" t="n"/>
      <c r="AP1" s="3" t="n"/>
      <c r="AQ1" s="3" t="n"/>
      <c r="AR1" s="3" t="n"/>
      <c r="AS1" s="4">
        <f>BB12</f>
        <v/>
      </c>
      <c r="AT1" s="5" t="n"/>
      <c r="AU1" s="5" t="n"/>
      <c r="AV1" s="5" t="n"/>
      <c r="AW1" s="1" t="n"/>
      <c r="AX1" s="1" t="n"/>
      <c r="AY1" s="1" t="n"/>
      <c r="BA1" s="6" t="inlineStr">
        <is>
          <t>perio-chart-template:3</t>
        </is>
      </c>
    </row>
    <row r="2" ht="22" customHeight="1">
      <c r="A2" s="1" t="n"/>
      <c r="B2" s="1" t="n"/>
      <c r="C2" s="7" t="inlineStr">
        <is>
          <t>Patient</t>
        </is>
      </c>
      <c r="D2" s="7" t="n"/>
      <c r="E2" s="7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7" t="inlineStr">
        <is>
          <t>HN</t>
        </is>
      </c>
      <c r="V2" s="7" t="n"/>
      <c r="W2" s="8" t="n"/>
      <c r="X2" s="8" t="n"/>
      <c r="Y2" s="8" t="n"/>
      <c r="Z2" s="8" t="n"/>
      <c r="AA2" s="8" t="n"/>
      <c r="AB2" s="8" t="n"/>
      <c r="AC2" s="8" t="n"/>
      <c r="AD2" s="8" t="n"/>
      <c r="AE2" s="7" t="inlineStr">
        <is>
          <t>Date</t>
        </is>
      </c>
      <c r="AF2" s="7" t="n"/>
      <c r="AG2" s="7" t="n"/>
      <c r="AH2" s="8" t="n"/>
      <c r="AI2" s="8" t="n"/>
      <c r="AJ2" s="8" t="n"/>
      <c r="AK2" s="8" t="n"/>
      <c r="AL2" s="8" t="n"/>
      <c r="AM2" s="8" t="n"/>
      <c r="AN2" s="8" t="n"/>
      <c r="AO2" s="7" t="inlineStr">
        <is>
          <t>Examiner</t>
        </is>
      </c>
      <c r="AP2" s="7" t="n"/>
      <c r="AQ2" s="7" t="n"/>
      <c r="AR2" s="7" t="n"/>
      <c r="AS2" s="8" t="n"/>
      <c r="AT2" s="8" t="n"/>
      <c r="AU2" s="8" t="n"/>
      <c r="AV2" s="8" t="n"/>
      <c r="AW2" s="8" t="n"/>
      <c r="AX2" s="8" t="n"/>
      <c r="AY2" s="1" t="n"/>
    </row>
    <row r="3" ht="22" customHeight="1">
      <c r="A3" s="1" t="n"/>
      <c r="B3" s="1" t="n"/>
      <c r="C3" s="9" t="inlineStr">
        <is>
          <t>Stage of therapy</t>
        </is>
      </c>
      <c r="D3" s="9" t="n"/>
      <c r="E3" s="9" t="n"/>
      <c r="F3" s="9" t="n"/>
      <c r="G3" s="9" t="n"/>
      <c r="H3" s="9" t="n"/>
      <c r="I3" s="9" t="n"/>
      <c r="J3" s="91" t="b">
        <v>0</v>
      </c>
      <c r="K3" s="10" t="inlineStr">
        <is>
          <t>Pre-treatment</t>
        </is>
      </c>
      <c r="L3" s="10" t="n"/>
      <c r="M3" s="10" t="n"/>
      <c r="N3" s="10" t="n"/>
      <c r="O3" s="10" t="n"/>
      <c r="P3" s="10" t="n"/>
      <c r="Q3" s="91" t="b">
        <v>0</v>
      </c>
      <c r="R3" s="10" t="inlineStr">
        <is>
          <t>Re-evaluation</t>
        </is>
      </c>
      <c r="S3" s="10" t="n"/>
      <c r="T3" s="10" t="n"/>
      <c r="U3" s="10" t="n"/>
      <c r="V3" s="10" t="n"/>
      <c r="W3" s="10" t="n"/>
      <c r="X3" s="91" t="b">
        <v>0</v>
      </c>
      <c r="Y3" s="10" t="inlineStr">
        <is>
          <t>Recall (SPT)</t>
        </is>
      </c>
      <c r="Z3" s="10" t="n"/>
      <c r="AA3" s="10" t="n"/>
      <c r="AB3" s="10" t="n"/>
      <c r="AC3" s="10" t="n"/>
      <c r="AD3" s="10" t="n"/>
      <c r="AE3" s="7" t="inlineStr">
        <is>
          <t>Age</t>
        </is>
      </c>
      <c r="AF3" s="7" t="n"/>
      <c r="AG3" s="7" t="n"/>
      <c r="AH3" s="8" t="n"/>
      <c r="AI3" s="8" t="n"/>
      <c r="AJ3" s="8" t="n"/>
      <c r="AK3" s="1" t="n"/>
      <c r="AL3" s="1" t="n"/>
      <c r="AM3" s="1" t="n"/>
      <c r="AN3" s="1" t="n"/>
      <c r="AO3" s="7" t="inlineStr">
        <is>
          <t>Teeth present</t>
        </is>
      </c>
      <c r="AP3" s="7" t="n"/>
      <c r="AQ3" s="7" t="n"/>
      <c r="AR3" s="7" t="n"/>
      <c r="AS3" s="7" t="n"/>
      <c r="AT3" s="7" t="n"/>
      <c r="AU3" s="7" t="n"/>
      <c r="AV3" s="11">
        <f>32-COUNTIF(C54:AX54,"X")-COUNTIF(C56:AX56,"X")</f>
        <v/>
      </c>
      <c r="AW3" s="8" t="n"/>
      <c r="AX3" s="8" t="n"/>
      <c r="AY3" s="1" t="n"/>
    </row>
    <row r="4" ht="20" customHeight="1">
      <c r="A4" s="1" t="n"/>
      <c r="B4" s="1" t="n"/>
      <c r="C4" s="12" t="inlineStr">
        <is>
          <t>LOCAL ETIOLOGIC AND CONTRIBUTING FACTORS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" t="n"/>
    </row>
    <row r="5" ht="19" customHeight="1">
      <c r="A5" s="1" t="n"/>
      <c r="B5" s="1" t="n"/>
      <c r="C5" s="91" t="b">
        <v>0</v>
      </c>
      <c r="D5" s="13" t="inlineStr">
        <is>
          <t>Inadequate oral hygiene</t>
        </is>
      </c>
      <c r="E5" s="13" t="n"/>
      <c r="F5" s="13" t="n"/>
      <c r="G5" s="13" t="n"/>
      <c r="H5" s="13" t="n"/>
      <c r="I5" s="13" t="n"/>
      <c r="J5" s="14" t="n"/>
      <c r="K5" s="14" t="n"/>
      <c r="L5" s="14" t="n"/>
      <c r="M5" s="1" t="n"/>
      <c r="N5" s="1" t="n"/>
      <c r="O5" s="91" t="b">
        <v>0</v>
      </c>
      <c r="P5" s="13" t="inlineStr">
        <is>
          <t>Supragingival calculus</t>
        </is>
      </c>
      <c r="Q5" s="13" t="n"/>
      <c r="R5" s="13" t="n"/>
      <c r="S5" s="13" t="n"/>
      <c r="T5" s="13" t="n"/>
      <c r="U5" s="13" t="n"/>
      <c r="V5" s="14" t="n"/>
      <c r="W5" s="14" t="n"/>
      <c r="X5" s="14" t="n"/>
      <c r="Y5" s="1" t="n"/>
      <c r="Z5" s="1" t="n"/>
      <c r="AA5" s="91" t="b">
        <v>0</v>
      </c>
      <c r="AB5" s="13" t="inlineStr">
        <is>
          <t>Subgingival calculus</t>
        </is>
      </c>
      <c r="AC5" s="13" t="n"/>
      <c r="AD5" s="13" t="n"/>
      <c r="AE5" s="13" t="n"/>
      <c r="AF5" s="13" t="n"/>
      <c r="AG5" s="13" t="n"/>
      <c r="AH5" s="14" t="n"/>
      <c r="AI5" s="14" t="n"/>
      <c r="AJ5" s="14" t="n"/>
      <c r="AK5" s="1" t="n"/>
      <c r="AL5" s="1" t="n"/>
      <c r="AM5" s="91" t="b">
        <v>0</v>
      </c>
      <c r="AN5" s="13" t="inlineStr">
        <is>
          <t>Food impaction</t>
        </is>
      </c>
      <c r="AO5" s="13" t="n"/>
      <c r="AP5" s="13" t="n"/>
      <c r="AQ5" s="13" t="n"/>
      <c r="AR5" s="13" t="n"/>
      <c r="AS5" s="13" t="n"/>
      <c r="AT5" s="14" t="n"/>
      <c r="AU5" s="14" t="n"/>
      <c r="AV5" s="14" t="n"/>
      <c r="AW5" s="1" t="n"/>
      <c r="AX5" s="1" t="n"/>
      <c r="AY5" s="1" t="n"/>
    </row>
    <row r="6" ht="19" customHeight="1">
      <c r="A6" s="1" t="n"/>
      <c r="B6" s="1" t="n"/>
      <c r="C6" s="91" t="b">
        <v>0</v>
      </c>
      <c r="D6" s="13" t="inlineStr">
        <is>
          <t>Related caries</t>
        </is>
      </c>
      <c r="E6" s="13" t="n"/>
      <c r="F6" s="13" t="n"/>
      <c r="G6" s="13" t="n"/>
      <c r="H6" s="13" t="n"/>
      <c r="I6" s="13" t="n"/>
      <c r="J6" s="14" t="n"/>
      <c r="K6" s="14" t="n"/>
      <c r="L6" s="14" t="n"/>
      <c r="M6" s="1" t="n"/>
      <c r="N6" s="1" t="n"/>
      <c r="O6" s="91" t="b">
        <v>0</v>
      </c>
      <c r="P6" s="13" t="inlineStr">
        <is>
          <t>Improper embrasure</t>
        </is>
      </c>
      <c r="Q6" s="13" t="n"/>
      <c r="R6" s="13" t="n"/>
      <c r="S6" s="13" t="n"/>
      <c r="T6" s="13" t="n"/>
      <c r="U6" s="13" t="n"/>
      <c r="V6" s="14" t="n"/>
      <c r="W6" s="14" t="n"/>
      <c r="X6" s="14" t="n"/>
      <c r="Y6" s="1" t="n"/>
      <c r="Z6" s="1" t="n"/>
      <c r="AA6" s="91" t="b">
        <v>0</v>
      </c>
      <c r="AB6" s="13" t="inlineStr">
        <is>
          <t>Malposed tooth</t>
        </is>
      </c>
      <c r="AC6" s="13" t="n"/>
      <c r="AD6" s="13" t="n"/>
      <c r="AE6" s="13" t="n"/>
      <c r="AF6" s="13" t="n"/>
      <c r="AG6" s="13" t="n"/>
      <c r="AH6" s="14" t="n"/>
      <c r="AI6" s="14" t="n"/>
      <c r="AJ6" s="14" t="n"/>
      <c r="AK6" s="1" t="n"/>
      <c r="AL6" s="1" t="n"/>
      <c r="AM6" s="91" t="b">
        <v>0</v>
      </c>
      <c r="AN6" s="13" t="inlineStr">
        <is>
          <t>Anatomical predisposing factor</t>
        </is>
      </c>
      <c r="AO6" s="13" t="n"/>
      <c r="AP6" s="13" t="n"/>
      <c r="AQ6" s="13" t="n"/>
      <c r="AR6" s="13" t="n"/>
      <c r="AS6" s="13" t="n"/>
      <c r="AT6" s="14" t="n"/>
      <c r="AU6" s="14" t="n"/>
      <c r="AV6" s="14" t="n"/>
      <c r="AW6" s="1" t="n"/>
      <c r="AX6" s="1" t="n"/>
      <c r="AY6" s="1" t="n"/>
    </row>
    <row r="7" ht="19" customHeight="1">
      <c r="A7" s="1" t="n"/>
      <c r="B7" s="1" t="n"/>
      <c r="C7" s="91" t="b">
        <v>0</v>
      </c>
      <c r="D7" s="13" t="inlineStr">
        <is>
          <t>Traumatic occlusion</t>
        </is>
      </c>
      <c r="E7" s="13" t="n"/>
      <c r="F7" s="13" t="n"/>
      <c r="G7" s="13" t="n"/>
      <c r="H7" s="13" t="n"/>
      <c r="I7" s="13" t="n"/>
      <c r="J7" s="14" t="n"/>
      <c r="K7" s="14" t="n"/>
      <c r="L7" s="14" t="n"/>
      <c r="M7" s="1" t="n"/>
      <c r="N7" s="1" t="n"/>
      <c r="O7" s="91" t="b">
        <v>0</v>
      </c>
      <c r="P7" s="13" t="inlineStr">
        <is>
          <t>Defective prostheses</t>
        </is>
      </c>
      <c r="Q7" s="13" t="n"/>
      <c r="R7" s="13" t="n"/>
      <c r="S7" s="13" t="n"/>
      <c r="T7" s="13" t="n"/>
      <c r="U7" s="13" t="n"/>
      <c r="V7" s="14" t="n"/>
      <c r="W7" s="14" t="n"/>
      <c r="X7" s="14" t="n"/>
      <c r="Y7" s="1" t="n"/>
      <c r="Z7" s="1" t="n"/>
      <c r="AA7" s="91" t="b">
        <v>0</v>
      </c>
      <c r="AB7" s="13" t="inlineStr">
        <is>
          <t>Defective fillings</t>
        </is>
      </c>
      <c r="AC7" s="13" t="n"/>
      <c r="AD7" s="13" t="n"/>
      <c r="AE7" s="13" t="n"/>
      <c r="AF7" s="13" t="n"/>
      <c r="AG7" s="13" t="n"/>
      <c r="AH7" s="14" t="n"/>
      <c r="AI7" s="14" t="n"/>
      <c r="AJ7" s="14" t="n"/>
      <c r="AK7" s="1" t="n"/>
      <c r="AL7" s="1" t="n"/>
      <c r="AM7" s="91" t="b">
        <v>0</v>
      </c>
      <c r="AN7" s="13" t="inlineStr">
        <is>
          <t>High muscle attachment</t>
        </is>
      </c>
      <c r="AO7" s="13" t="n"/>
      <c r="AP7" s="13" t="n"/>
      <c r="AQ7" s="13" t="n"/>
      <c r="AR7" s="13" t="n"/>
      <c r="AS7" s="13" t="n"/>
      <c r="AT7" s="14" t="n"/>
      <c r="AU7" s="14" t="n"/>
      <c r="AV7" s="14" t="n"/>
      <c r="AW7" s="1" t="n"/>
      <c r="AX7" s="1" t="n"/>
      <c r="AY7" s="1" t="n"/>
    </row>
    <row r="8" ht="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</row>
    <row r="9" ht="18" customHeight="1">
      <c r="A9" s="15" t="inlineStr">
        <is>
          <t>MAXILLA</t>
        </is>
      </c>
      <c r="B9" s="16" t="n"/>
      <c r="C9" s="17" t="n">
        <v>18</v>
      </c>
      <c r="D9" s="18" t="n"/>
      <c r="E9" s="18" t="n"/>
      <c r="F9" s="17" t="n">
        <v>17</v>
      </c>
      <c r="G9" s="18" t="n"/>
      <c r="H9" s="18" t="n"/>
      <c r="I9" s="17" t="n">
        <v>16</v>
      </c>
      <c r="J9" s="18" t="n"/>
      <c r="K9" s="18" t="n"/>
      <c r="L9" s="17" t="n">
        <v>15</v>
      </c>
      <c r="M9" s="18" t="n"/>
      <c r="N9" s="18" t="n"/>
      <c r="O9" s="17" t="n">
        <v>14</v>
      </c>
      <c r="P9" s="18" t="n"/>
      <c r="Q9" s="18" t="n"/>
      <c r="R9" s="17" t="n">
        <v>13</v>
      </c>
      <c r="S9" s="18" t="n"/>
      <c r="T9" s="18" t="n"/>
      <c r="U9" s="17" t="n">
        <v>12</v>
      </c>
      <c r="V9" s="18" t="n"/>
      <c r="W9" s="18" t="n"/>
      <c r="X9" s="17" t="n">
        <v>11</v>
      </c>
      <c r="Y9" s="18" t="n"/>
      <c r="Z9" s="18" t="n"/>
      <c r="AA9" s="19" t="n">
        <v>21</v>
      </c>
      <c r="AB9" s="18" t="n"/>
      <c r="AC9" s="18" t="n"/>
      <c r="AD9" s="17" t="n">
        <v>22</v>
      </c>
      <c r="AE9" s="18" t="n"/>
      <c r="AF9" s="18" t="n"/>
      <c r="AG9" s="17" t="n">
        <v>23</v>
      </c>
      <c r="AH9" s="18" t="n"/>
      <c r="AI9" s="18" t="n"/>
      <c r="AJ9" s="17" t="n">
        <v>24</v>
      </c>
      <c r="AK9" s="18" t="n"/>
      <c r="AL9" s="18" t="n"/>
      <c r="AM9" s="17" t="n">
        <v>25</v>
      </c>
      <c r="AN9" s="18" t="n"/>
      <c r="AO9" s="18" t="n"/>
      <c r="AP9" s="17" t="n">
        <v>26</v>
      </c>
      <c r="AQ9" s="18" t="n"/>
      <c r="AR9" s="18" t="n"/>
      <c r="AS9" s="17" t="n">
        <v>27</v>
      </c>
      <c r="AT9" s="18" t="n"/>
      <c r="AU9" s="18" t="n"/>
      <c r="AV9" s="17" t="n">
        <v>28</v>
      </c>
      <c r="AW9" s="18" t="n"/>
      <c r="AX9" s="18" t="n"/>
      <c r="AY9" s="20" t="n"/>
      <c r="BA9" s="21" t="inlineStr">
        <is>
          <t>SUMMARY</t>
        </is>
      </c>
    </row>
    <row r="10" ht="21" customHeight="1">
      <c r="A10" s="22" t="inlineStr">
        <is>
          <t>BUCCAL</t>
        </is>
      </c>
      <c r="B10" s="23" t="inlineStr">
        <is>
          <t>KG</t>
        </is>
      </c>
      <c r="C10" s="24" t="n"/>
      <c r="D10" s="25" t="n"/>
      <c r="E10" s="25" t="n"/>
      <c r="F10" s="24" t="n"/>
      <c r="G10" s="25" t="n"/>
      <c r="H10" s="25" t="n"/>
      <c r="I10" s="24" t="n"/>
      <c r="J10" s="25" t="n"/>
      <c r="K10" s="25" t="n"/>
      <c r="L10" s="24" t="n"/>
      <c r="M10" s="25" t="n"/>
      <c r="N10" s="25" t="n"/>
      <c r="O10" s="24" t="n"/>
      <c r="P10" s="25" t="n"/>
      <c r="Q10" s="25" t="n"/>
      <c r="R10" s="24" t="n"/>
      <c r="S10" s="25" t="n"/>
      <c r="T10" s="25" t="n"/>
      <c r="U10" s="24" t="n"/>
      <c r="V10" s="25" t="n"/>
      <c r="W10" s="25" t="n"/>
      <c r="X10" s="24" t="n"/>
      <c r="Y10" s="25" t="n"/>
      <c r="Z10" s="25" t="n"/>
      <c r="AA10" s="26" t="n"/>
      <c r="AB10" s="25" t="n"/>
      <c r="AC10" s="25" t="n"/>
      <c r="AD10" s="24" t="n"/>
      <c r="AE10" s="25" t="n"/>
      <c r="AF10" s="25" t="n"/>
      <c r="AG10" s="24" t="n"/>
      <c r="AH10" s="25" t="n"/>
      <c r="AI10" s="25" t="n"/>
      <c r="AJ10" s="24" t="n"/>
      <c r="AK10" s="25" t="n"/>
      <c r="AL10" s="25" t="n"/>
      <c r="AM10" s="24" t="n"/>
      <c r="AN10" s="25" t="n"/>
      <c r="AO10" s="25" t="n"/>
      <c r="AP10" s="24" t="n"/>
      <c r="AQ10" s="25" t="n"/>
      <c r="AR10" s="25" t="n"/>
      <c r="AS10" s="24" t="n"/>
      <c r="AT10" s="25" t="n"/>
      <c r="AU10" s="25" t="n"/>
      <c r="AV10" s="24" t="n"/>
      <c r="AW10" s="25" t="n"/>
      <c r="AX10" s="25" t="n"/>
      <c r="AY10" s="27" t="inlineStr">
        <is>
          <t>KG</t>
        </is>
      </c>
      <c r="BA10" s="28" t="inlineStr">
        <is>
          <t>Teeth present</t>
        </is>
      </c>
      <c r="BB10" s="29">
        <f>AV3</f>
        <v/>
      </c>
    </row>
    <row r="11" ht="21" customHeight="1">
      <c r="A11" s="22" t="n"/>
      <c r="B11" s="23" t="inlineStr">
        <is>
          <t>PLAQUE</t>
        </is>
      </c>
      <c r="C11" s="24" t="n"/>
      <c r="D11" s="25" t="n"/>
      <c r="E11" s="25" t="n"/>
      <c r="F11" s="24" t="n"/>
      <c r="G11" s="25" t="n"/>
      <c r="H11" s="25" t="n"/>
      <c r="I11" s="24" t="n"/>
      <c r="J11" s="25" t="n"/>
      <c r="K11" s="25" t="n"/>
      <c r="L11" s="24" t="n"/>
      <c r="M11" s="25" t="n"/>
      <c r="N11" s="25" t="n"/>
      <c r="O11" s="24" t="n"/>
      <c r="P11" s="25" t="n"/>
      <c r="Q11" s="25" t="n"/>
      <c r="R11" s="24" t="n"/>
      <c r="S11" s="25" t="n"/>
      <c r="T11" s="25" t="n"/>
      <c r="U11" s="24" t="n"/>
      <c r="V11" s="25" t="n"/>
      <c r="W11" s="25" t="n"/>
      <c r="X11" s="24" t="n"/>
      <c r="Y11" s="25" t="n"/>
      <c r="Z11" s="25" t="n"/>
      <c r="AA11" s="26" t="n"/>
      <c r="AB11" s="25" t="n"/>
      <c r="AC11" s="25" t="n"/>
      <c r="AD11" s="24" t="n"/>
      <c r="AE11" s="25" t="n"/>
      <c r="AF11" s="25" t="n"/>
      <c r="AG11" s="24" t="n"/>
      <c r="AH11" s="25" t="n"/>
      <c r="AI11" s="25" t="n"/>
      <c r="AJ11" s="24" t="n"/>
      <c r="AK11" s="25" t="n"/>
      <c r="AL11" s="25" t="n"/>
      <c r="AM11" s="24" t="n"/>
      <c r="AN11" s="25" t="n"/>
      <c r="AO11" s="25" t="n"/>
      <c r="AP11" s="24" t="n"/>
      <c r="AQ11" s="25" t="n"/>
      <c r="AR11" s="25" t="n"/>
      <c r="AS11" s="24" t="n"/>
      <c r="AT11" s="25" t="n"/>
      <c r="AU11" s="25" t="n"/>
      <c r="AV11" s="24" t="n"/>
      <c r="AW11" s="25" t="n"/>
      <c r="AX11" s="25" t="n"/>
      <c r="AY11" s="27" t="inlineStr">
        <is>
          <t>PLAQUE</t>
        </is>
      </c>
      <c r="BA11" s="28" t="inlineStr">
        <is>
          <t>Total sites</t>
        </is>
      </c>
      <c r="BB11" s="29">
        <f>BB10*6</f>
        <v/>
      </c>
    </row>
    <row r="12" ht="21" customHeight="1">
      <c r="A12" s="22" t="n"/>
      <c r="B12" s="23" t="inlineStr">
        <is>
          <t>BOP</t>
        </is>
      </c>
      <c r="C12" s="24" t="n"/>
      <c r="D12" s="25" t="n"/>
      <c r="E12" s="25" t="n"/>
      <c r="F12" s="24" t="n"/>
      <c r="G12" s="25" t="n"/>
      <c r="H12" s="25" t="n"/>
      <c r="I12" s="24" t="n"/>
      <c r="J12" s="25" t="n"/>
      <c r="K12" s="25" t="n"/>
      <c r="L12" s="24" t="n"/>
      <c r="M12" s="25" t="n"/>
      <c r="N12" s="25" t="n"/>
      <c r="O12" s="24" t="n"/>
      <c r="P12" s="25" t="n"/>
      <c r="Q12" s="25" t="n"/>
      <c r="R12" s="24" t="n"/>
      <c r="S12" s="25" t="n"/>
      <c r="T12" s="25" t="n"/>
      <c r="U12" s="24" t="n"/>
      <c r="V12" s="25" t="n"/>
      <c r="W12" s="25" t="n"/>
      <c r="X12" s="24" t="n"/>
      <c r="Y12" s="25" t="n"/>
      <c r="Z12" s="25" t="n"/>
      <c r="AA12" s="26" t="n"/>
      <c r="AB12" s="25" t="n"/>
      <c r="AC12" s="25" t="n"/>
      <c r="AD12" s="24" t="n"/>
      <c r="AE12" s="25" t="n"/>
      <c r="AF12" s="25" t="n"/>
      <c r="AG12" s="24" t="n"/>
      <c r="AH12" s="25" t="n"/>
      <c r="AI12" s="25" t="n"/>
      <c r="AJ12" s="24" t="n"/>
      <c r="AK12" s="25" t="n"/>
      <c r="AL12" s="25" t="n"/>
      <c r="AM12" s="24" t="n"/>
      <c r="AN12" s="25" t="n"/>
      <c r="AO12" s="25" t="n"/>
      <c r="AP12" s="24" t="n"/>
      <c r="AQ12" s="25" t="n"/>
      <c r="AR12" s="25" t="n"/>
      <c r="AS12" s="24" t="n"/>
      <c r="AT12" s="25" t="n"/>
      <c r="AU12" s="25" t="n"/>
      <c r="AV12" s="24" t="n"/>
      <c r="AW12" s="25" t="n"/>
      <c r="AX12" s="25" t="n"/>
      <c r="AY12" s="27" t="inlineStr">
        <is>
          <t>BOP</t>
        </is>
      </c>
      <c r="BA12" s="28" t="inlineStr">
        <is>
          <t>Plaque score</t>
        </is>
      </c>
      <c r="BB12" s="30">
        <f>IF(BB11=0,"",(COUNTIF(C11:AX11,"/")+COUNTIF(C27:AX27,"/")+COUNTIF(C32:AX32,"/")+COUNTIF(C48:AX48,"/"))/BB11)</f>
        <v/>
      </c>
    </row>
    <row r="13" ht="21" customHeight="1">
      <c r="A13" s="22" t="n"/>
      <c r="B13" s="23" t="inlineStr">
        <is>
          <t>CEJ-GM</t>
        </is>
      </c>
      <c r="C13" s="24" t="n"/>
      <c r="D13" s="25" t="n"/>
      <c r="E13" s="25" t="n"/>
      <c r="F13" s="24" t="n"/>
      <c r="G13" s="25" t="n"/>
      <c r="H13" s="25" t="n"/>
      <c r="I13" s="24" t="n"/>
      <c r="J13" s="25" t="n"/>
      <c r="K13" s="25" t="n"/>
      <c r="L13" s="24" t="n"/>
      <c r="M13" s="25" t="n"/>
      <c r="N13" s="25" t="n"/>
      <c r="O13" s="24" t="n"/>
      <c r="P13" s="25" t="n"/>
      <c r="Q13" s="25" t="n"/>
      <c r="R13" s="24" t="n"/>
      <c r="S13" s="25" t="n"/>
      <c r="T13" s="25" t="n"/>
      <c r="U13" s="24" t="n"/>
      <c r="V13" s="25" t="n"/>
      <c r="W13" s="25" t="n"/>
      <c r="X13" s="24" t="n"/>
      <c r="Y13" s="25" t="n"/>
      <c r="Z13" s="25" t="n"/>
      <c r="AA13" s="26" t="n"/>
      <c r="AB13" s="25" t="n"/>
      <c r="AC13" s="25" t="n"/>
      <c r="AD13" s="24" t="n"/>
      <c r="AE13" s="25" t="n"/>
      <c r="AF13" s="25" t="n"/>
      <c r="AG13" s="24" t="n"/>
      <c r="AH13" s="25" t="n"/>
      <c r="AI13" s="25" t="n"/>
      <c r="AJ13" s="24" t="n"/>
      <c r="AK13" s="25" t="n"/>
      <c r="AL13" s="25" t="n"/>
      <c r="AM13" s="24" t="n"/>
      <c r="AN13" s="25" t="n"/>
      <c r="AO13" s="25" t="n"/>
      <c r="AP13" s="24" t="n"/>
      <c r="AQ13" s="25" t="n"/>
      <c r="AR13" s="25" t="n"/>
      <c r="AS13" s="24" t="n"/>
      <c r="AT13" s="25" t="n"/>
      <c r="AU13" s="25" t="n"/>
      <c r="AV13" s="24" t="n"/>
      <c r="AW13" s="25" t="n"/>
      <c r="AX13" s="25" t="n"/>
      <c r="AY13" s="27" t="inlineStr">
        <is>
          <t>CEJ-GM</t>
        </is>
      </c>
      <c r="BA13" s="28" t="inlineStr">
        <is>
          <t>BOP</t>
        </is>
      </c>
      <c r="BB13" s="30">
        <f>IF(BB11=0,"",(COUNTIF(C12:AX12,"+")+COUNTIF(C26:AX26,"+")+COUNTIF(C33:AX33,"+")+COUNTIF(C47:AX47,"+"))/BB11)</f>
        <v/>
      </c>
    </row>
    <row r="14" ht="21" customHeight="1">
      <c r="A14" s="22" t="n"/>
      <c r="B14" s="23" t="inlineStr">
        <is>
          <t>PD</t>
        </is>
      </c>
      <c r="C14" s="31" t="n"/>
      <c r="D14" s="32" t="n"/>
      <c r="E14" s="32" t="n"/>
      <c r="F14" s="31" t="n"/>
      <c r="G14" s="32" t="n"/>
      <c r="H14" s="32" t="n"/>
      <c r="I14" s="31" t="n"/>
      <c r="J14" s="32" t="n"/>
      <c r="K14" s="32" t="n"/>
      <c r="L14" s="31" t="n"/>
      <c r="M14" s="32" t="n"/>
      <c r="N14" s="32" t="n"/>
      <c r="O14" s="31" t="n"/>
      <c r="P14" s="32" t="n"/>
      <c r="Q14" s="32" t="n"/>
      <c r="R14" s="31" t="n"/>
      <c r="S14" s="32" t="n"/>
      <c r="T14" s="32" t="n"/>
      <c r="U14" s="31" t="n"/>
      <c r="V14" s="32" t="n"/>
      <c r="W14" s="32" t="n"/>
      <c r="X14" s="31" t="n"/>
      <c r="Y14" s="32" t="n"/>
      <c r="Z14" s="32" t="n"/>
      <c r="AA14" s="33" t="n"/>
      <c r="AB14" s="32" t="n"/>
      <c r="AC14" s="32" t="n"/>
      <c r="AD14" s="31" t="n"/>
      <c r="AE14" s="32" t="n"/>
      <c r="AF14" s="32" t="n"/>
      <c r="AG14" s="31" t="n"/>
      <c r="AH14" s="32" t="n"/>
      <c r="AI14" s="32" t="n"/>
      <c r="AJ14" s="31" t="n"/>
      <c r="AK14" s="32" t="n"/>
      <c r="AL14" s="32" t="n"/>
      <c r="AM14" s="31" t="n"/>
      <c r="AN14" s="32" t="n"/>
      <c r="AO14" s="32" t="n"/>
      <c r="AP14" s="31" t="n"/>
      <c r="AQ14" s="32" t="n"/>
      <c r="AR14" s="32" t="n"/>
      <c r="AS14" s="31" t="n"/>
      <c r="AT14" s="32" t="n"/>
      <c r="AU14" s="32" t="n"/>
      <c r="AV14" s="31" t="n"/>
      <c r="AW14" s="32" t="n"/>
      <c r="AX14" s="32" t="n"/>
      <c r="AY14" s="27" t="inlineStr">
        <is>
          <t>PD</t>
        </is>
      </c>
    </row>
    <row r="15" ht="19" customHeight="1">
      <c r="A15" s="34" t="n"/>
      <c r="B15" s="35" t="inlineStr">
        <is>
          <t>CAL</t>
        </is>
      </c>
      <c r="C15" s="36">
        <f>IF(C14="","",C14+N(C13))</f>
        <v/>
      </c>
      <c r="D15" s="37">
        <f>IF(D14="","",D14+N(D13))</f>
        <v/>
      </c>
      <c r="E15" s="37">
        <f>IF(E14="","",E14+N(E13))</f>
        <v/>
      </c>
      <c r="F15" s="36">
        <f>IF(F14="","",F14+N(F13))</f>
        <v/>
      </c>
      <c r="G15" s="37">
        <f>IF(G14="","",G14+N(G13))</f>
        <v/>
      </c>
      <c r="H15" s="37">
        <f>IF(H14="","",H14+N(H13))</f>
        <v/>
      </c>
      <c r="I15" s="36">
        <f>IF(I14="","",I14+N(I13))</f>
        <v/>
      </c>
      <c r="J15" s="37">
        <f>IF(J14="","",J14+N(J13))</f>
        <v/>
      </c>
      <c r="K15" s="37">
        <f>IF(K14="","",K14+N(K13))</f>
        <v/>
      </c>
      <c r="L15" s="36">
        <f>IF(L14="","",L14+N(L13))</f>
        <v/>
      </c>
      <c r="M15" s="37">
        <f>IF(M14="","",M14+N(M13))</f>
        <v/>
      </c>
      <c r="N15" s="37">
        <f>IF(N14="","",N14+N(N13))</f>
        <v/>
      </c>
      <c r="O15" s="36">
        <f>IF(O14="","",O14+N(O13))</f>
        <v/>
      </c>
      <c r="P15" s="37">
        <f>IF(P14="","",P14+N(P13))</f>
        <v/>
      </c>
      <c r="Q15" s="37">
        <f>IF(Q14="","",Q14+N(Q13))</f>
        <v/>
      </c>
      <c r="R15" s="36">
        <f>IF(R14="","",R14+N(R13))</f>
        <v/>
      </c>
      <c r="S15" s="37">
        <f>IF(S14="","",S14+N(S13))</f>
        <v/>
      </c>
      <c r="T15" s="37">
        <f>IF(T14="","",T14+N(T13))</f>
        <v/>
      </c>
      <c r="U15" s="36">
        <f>IF(U14="","",U14+N(U13))</f>
        <v/>
      </c>
      <c r="V15" s="37">
        <f>IF(V14="","",V14+N(V13))</f>
        <v/>
      </c>
      <c r="W15" s="37">
        <f>IF(W14="","",W14+N(W13))</f>
        <v/>
      </c>
      <c r="X15" s="36">
        <f>IF(X14="","",X14+N(X13))</f>
        <v/>
      </c>
      <c r="Y15" s="37">
        <f>IF(Y14="","",Y14+N(Y13))</f>
        <v/>
      </c>
      <c r="Z15" s="37">
        <f>IF(Z14="","",Z14+N(Z13))</f>
        <v/>
      </c>
      <c r="AA15" s="38">
        <f>IF(AA14="","",AA14+N(AA13))</f>
        <v/>
      </c>
      <c r="AB15" s="37">
        <f>IF(AB14="","",AB14+N(AB13))</f>
        <v/>
      </c>
      <c r="AC15" s="37">
        <f>IF(AC14="","",AC14+N(AC13))</f>
        <v/>
      </c>
      <c r="AD15" s="36">
        <f>IF(AD14="","",AD14+N(AD13))</f>
        <v/>
      </c>
      <c r="AE15" s="37">
        <f>IF(AE14="","",AE14+N(AE13))</f>
        <v/>
      </c>
      <c r="AF15" s="37">
        <f>IF(AF14="","",AF14+N(AF13))</f>
        <v/>
      </c>
      <c r="AG15" s="36">
        <f>IF(AG14="","",AG14+N(AG13))</f>
        <v/>
      </c>
      <c r="AH15" s="37">
        <f>IF(AH14="","",AH14+N(AH13))</f>
        <v/>
      </c>
      <c r="AI15" s="37">
        <f>IF(AI14="","",AI14+N(AI13))</f>
        <v/>
      </c>
      <c r="AJ15" s="36">
        <f>IF(AJ14="","",AJ14+N(AJ13))</f>
        <v/>
      </c>
      <c r="AK15" s="37">
        <f>IF(AK14="","",AK14+N(AK13))</f>
        <v/>
      </c>
      <c r="AL15" s="37">
        <f>IF(AL14="","",AL14+N(AL13))</f>
        <v/>
      </c>
      <c r="AM15" s="36">
        <f>IF(AM14="","",AM14+N(AM13))</f>
        <v/>
      </c>
      <c r="AN15" s="37">
        <f>IF(AN14="","",AN14+N(AN13))</f>
        <v/>
      </c>
      <c r="AO15" s="37">
        <f>IF(AO14="","",AO14+N(AO13))</f>
        <v/>
      </c>
      <c r="AP15" s="36">
        <f>IF(AP14="","",AP14+N(AP13))</f>
        <v/>
      </c>
      <c r="AQ15" s="37">
        <f>IF(AQ14="","",AQ14+N(AQ13))</f>
        <v/>
      </c>
      <c r="AR15" s="37">
        <f>IF(AR14="","",AR14+N(AR13))</f>
        <v/>
      </c>
      <c r="AS15" s="36">
        <f>IF(AS14="","",AS14+N(AS13))</f>
        <v/>
      </c>
      <c r="AT15" s="37">
        <f>IF(AT14="","",AT14+N(AT13))</f>
        <v/>
      </c>
      <c r="AU15" s="37">
        <f>IF(AU14="","",AU14+N(AU13))</f>
        <v/>
      </c>
      <c r="AV15" s="36">
        <f>IF(AV14="","",AV14+N(AV13))</f>
        <v/>
      </c>
      <c r="AW15" s="37">
        <f>IF(AW14="","",AW14+N(AW13))</f>
        <v/>
      </c>
      <c r="AX15" s="37">
        <f>IF(AX14="","",AX14+N(AX13))</f>
        <v/>
      </c>
      <c r="AY15" s="39" t="inlineStr">
        <is>
          <t>CAL</t>
        </is>
      </c>
      <c r="BA15" s="21" t="inlineStr">
        <is>
          <t>PD (sites)</t>
        </is>
      </c>
      <c r="BB15" s="40" t="inlineStr">
        <is>
          <t>Sites</t>
        </is>
      </c>
      <c r="BC15" s="40" t="inlineStr">
        <is>
          <t>%</t>
        </is>
      </c>
    </row>
    <row r="16" ht="18.89" customHeight="1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3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4" t="n"/>
      <c r="BA16" s="28" t="inlineStr">
        <is>
          <t>1-3 mm</t>
        </is>
      </c>
      <c r="BB16" s="45">
        <f>COUNTIFS(C14:AX14,"&gt;=1",C14:AX14,"&lt;=3")+COUNTIFS(C24:AX24,"&gt;=1",C24:AX24,"&lt;=3")+COUNTIFS(C35:AX35,"&gt;=1",C35:AX35,"&lt;=3")+COUNTIFS(C45:AX45,"&gt;=1",C45:AX45,"&lt;=3")</f>
        <v/>
      </c>
      <c r="BC16" s="46">
        <f>IF($BB$11=0,"",BB16/$BB$11)</f>
        <v/>
      </c>
    </row>
    <row r="17" ht="18.89" customHeight="1">
      <c r="A17" s="47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9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50" t="n"/>
      <c r="BA17" s="28" t="inlineStr">
        <is>
          <t>4-6 mm</t>
        </is>
      </c>
      <c r="BB17" s="45">
        <f>COUNTIFS(C14:AX14,"&gt;=4",C14:AX14,"&lt;=6")+COUNTIFS(C24:AX24,"&gt;=4",C24:AX24,"&lt;=6")+COUNTIFS(C35:AX35,"&gt;=4",C35:AX35,"&lt;=6")+COUNTIFS(C45:AX45,"&gt;=4",C45:AX45,"&lt;=6")</f>
        <v/>
      </c>
      <c r="BC17" s="46">
        <f>IF($BB$11=0,"",BB17/$BB$11)</f>
        <v/>
      </c>
    </row>
    <row r="18" ht="18.89" customHeight="1">
      <c r="A18" s="47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9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  <c r="AY18" s="50" t="n"/>
      <c r="BA18" s="28" t="inlineStr">
        <is>
          <t>7 mm or more</t>
        </is>
      </c>
      <c r="BB18" s="45">
        <f>COUNTIF(C14:AX14,"&gt;=7")+COUNTIF(C24:AX24,"&gt;=7")+COUNTIF(C35:AX35,"&gt;=7")+COUNTIF(C45:AX45,"&gt;=7")</f>
        <v/>
      </c>
      <c r="BC18" s="46">
        <f>IF($BB$11=0,"",BB18/$BB$11)</f>
        <v/>
      </c>
    </row>
    <row r="19" ht="18.89" customHeight="1">
      <c r="A19" s="47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9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  <c r="AY19" s="50" t="n"/>
    </row>
    <row r="20" ht="18.89" customHeight="1">
      <c r="A20" s="47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9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  <c r="AY20" s="50" t="n"/>
      <c r="BA20" s="21" t="inlineStr">
        <is>
          <t>CAL (sites)</t>
        </is>
      </c>
      <c r="BB20" s="40" t="inlineStr">
        <is>
          <t>Sites</t>
        </is>
      </c>
      <c r="BC20" s="40" t="inlineStr">
        <is>
          <t>%</t>
        </is>
      </c>
    </row>
    <row r="21" ht="18.89" customHeight="1">
      <c r="A21" s="47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9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  <c r="AY21" s="50" t="n"/>
      <c r="BA21" s="28" t="inlineStr">
        <is>
          <t>1-2 mm</t>
        </is>
      </c>
      <c r="BB21" s="45">
        <f>COUNTIFS(C15:AX15,"&gt;=1",C15:AX15,"&lt;=2")+COUNTIFS(C23:AX23,"&gt;=1",C23:AX23,"&lt;=2")+COUNTIFS(C36:AX36,"&gt;=1",C36:AX36,"&lt;=2")+COUNTIFS(C44:AX44,"&gt;=1",C44:AX44,"&lt;=2")</f>
        <v/>
      </c>
      <c r="BC21" s="46">
        <f>IF($BB$11=0,"",BB21/$BB$11)</f>
        <v/>
      </c>
    </row>
    <row r="22" ht="18.89" customHeight="1">
      <c r="A22" s="51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3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4" t="n"/>
      <c r="BA22" s="28" t="inlineStr">
        <is>
          <t>3-4 mm</t>
        </is>
      </c>
      <c r="BB22" s="45">
        <f>COUNTIFS(C15:AX15,"&gt;=3",C15:AX15,"&lt;=4")+COUNTIFS(C23:AX23,"&gt;=3",C23:AX23,"&lt;=4")+COUNTIFS(C36:AX36,"&gt;=3",C36:AX36,"&lt;=4")+COUNTIFS(C44:AX44,"&gt;=3",C44:AX44,"&lt;=4")</f>
        <v/>
      </c>
      <c r="BC22" s="46">
        <f>IF($BB$11=0,"",BB22/$BB$11)</f>
        <v/>
      </c>
    </row>
    <row r="23" ht="19" customHeight="1">
      <c r="A23" s="55" t="inlineStr">
        <is>
          <t>PALATAL</t>
        </is>
      </c>
      <c r="B23" s="56" t="inlineStr">
        <is>
          <t>CAL</t>
        </is>
      </c>
      <c r="C23" s="57">
        <f>IF(C24="","",C24+N(C25))</f>
        <v/>
      </c>
      <c r="D23" s="58">
        <f>IF(D24="","",D24+N(D25))</f>
        <v/>
      </c>
      <c r="E23" s="58">
        <f>IF(E24="","",E24+N(E25))</f>
        <v/>
      </c>
      <c r="F23" s="57">
        <f>IF(F24="","",F24+N(F25))</f>
        <v/>
      </c>
      <c r="G23" s="58">
        <f>IF(G24="","",G24+N(G25))</f>
        <v/>
      </c>
      <c r="H23" s="58">
        <f>IF(H24="","",H24+N(H25))</f>
        <v/>
      </c>
      <c r="I23" s="57">
        <f>IF(I24="","",I24+N(I25))</f>
        <v/>
      </c>
      <c r="J23" s="58">
        <f>IF(J24="","",J24+N(J25))</f>
        <v/>
      </c>
      <c r="K23" s="58">
        <f>IF(K24="","",K24+N(K25))</f>
        <v/>
      </c>
      <c r="L23" s="57">
        <f>IF(L24="","",L24+N(L25))</f>
        <v/>
      </c>
      <c r="M23" s="58">
        <f>IF(M24="","",M24+N(M25))</f>
        <v/>
      </c>
      <c r="N23" s="58">
        <f>IF(N24="","",N24+N(N25))</f>
        <v/>
      </c>
      <c r="O23" s="57">
        <f>IF(O24="","",O24+N(O25))</f>
        <v/>
      </c>
      <c r="P23" s="58">
        <f>IF(P24="","",P24+N(P25))</f>
        <v/>
      </c>
      <c r="Q23" s="58">
        <f>IF(Q24="","",Q24+N(Q25))</f>
        <v/>
      </c>
      <c r="R23" s="57">
        <f>IF(R24="","",R24+N(R25))</f>
        <v/>
      </c>
      <c r="S23" s="58">
        <f>IF(S24="","",S24+N(S25))</f>
        <v/>
      </c>
      <c r="T23" s="58">
        <f>IF(T24="","",T24+N(T25))</f>
        <v/>
      </c>
      <c r="U23" s="57">
        <f>IF(U24="","",U24+N(U25))</f>
        <v/>
      </c>
      <c r="V23" s="58">
        <f>IF(V24="","",V24+N(V25))</f>
        <v/>
      </c>
      <c r="W23" s="58">
        <f>IF(W24="","",W24+N(W25))</f>
        <v/>
      </c>
      <c r="X23" s="57">
        <f>IF(X24="","",X24+N(X25))</f>
        <v/>
      </c>
      <c r="Y23" s="58">
        <f>IF(Y24="","",Y24+N(Y25))</f>
        <v/>
      </c>
      <c r="Z23" s="58">
        <f>IF(Z24="","",Z24+N(Z25))</f>
        <v/>
      </c>
      <c r="AA23" s="59">
        <f>IF(AA24="","",AA24+N(AA25))</f>
        <v/>
      </c>
      <c r="AB23" s="58">
        <f>IF(AB24="","",AB24+N(AB25))</f>
        <v/>
      </c>
      <c r="AC23" s="58">
        <f>IF(AC24="","",AC24+N(AC25))</f>
        <v/>
      </c>
      <c r="AD23" s="57">
        <f>IF(AD24="","",AD24+N(AD25))</f>
        <v/>
      </c>
      <c r="AE23" s="58">
        <f>IF(AE24="","",AE24+N(AE25))</f>
        <v/>
      </c>
      <c r="AF23" s="58">
        <f>IF(AF24="","",AF24+N(AF25))</f>
        <v/>
      </c>
      <c r="AG23" s="57">
        <f>IF(AG24="","",AG24+N(AG25))</f>
        <v/>
      </c>
      <c r="AH23" s="58">
        <f>IF(AH24="","",AH24+N(AH25))</f>
        <v/>
      </c>
      <c r="AI23" s="58">
        <f>IF(AI24="","",AI24+N(AI25))</f>
        <v/>
      </c>
      <c r="AJ23" s="57">
        <f>IF(AJ24="","",AJ24+N(AJ25))</f>
        <v/>
      </c>
      <c r="AK23" s="58">
        <f>IF(AK24="","",AK24+N(AK25))</f>
        <v/>
      </c>
      <c r="AL23" s="58">
        <f>IF(AL24="","",AL24+N(AL25))</f>
        <v/>
      </c>
      <c r="AM23" s="57">
        <f>IF(AM24="","",AM24+N(AM25))</f>
        <v/>
      </c>
      <c r="AN23" s="58">
        <f>IF(AN24="","",AN24+N(AN25))</f>
        <v/>
      </c>
      <c r="AO23" s="58">
        <f>IF(AO24="","",AO24+N(AO25))</f>
        <v/>
      </c>
      <c r="AP23" s="57">
        <f>IF(AP24="","",AP24+N(AP25))</f>
        <v/>
      </c>
      <c r="AQ23" s="58">
        <f>IF(AQ24="","",AQ24+N(AQ25))</f>
        <v/>
      </c>
      <c r="AR23" s="58">
        <f>IF(AR24="","",AR24+N(AR25))</f>
        <v/>
      </c>
      <c r="AS23" s="57">
        <f>IF(AS24="","",AS24+N(AS25))</f>
        <v/>
      </c>
      <c r="AT23" s="58">
        <f>IF(AT24="","",AT24+N(AT25))</f>
        <v/>
      </c>
      <c r="AU23" s="58">
        <f>IF(AU24="","",AU24+N(AU25))</f>
        <v/>
      </c>
      <c r="AV23" s="57">
        <f>IF(AV24="","",AV24+N(AV25))</f>
        <v/>
      </c>
      <c r="AW23" s="58">
        <f>IF(AW24="","",AW24+N(AW25))</f>
        <v/>
      </c>
      <c r="AX23" s="58">
        <f>IF(AX24="","",AX24+N(AX25))</f>
        <v/>
      </c>
      <c r="AY23" s="60" t="inlineStr">
        <is>
          <t>CAL</t>
        </is>
      </c>
      <c r="BA23" s="28" t="inlineStr">
        <is>
          <t>5 mm or more</t>
        </is>
      </c>
      <c r="BB23" s="45">
        <f>COUNTIF(C15:AX15,"&gt;=5")+COUNTIF(C23:AX23,"&gt;=5")+COUNTIF(C36:AX36,"&gt;=5")+COUNTIF(C44:AX44,"&gt;=5")</f>
        <v/>
      </c>
      <c r="BC23" s="46">
        <f>IF($BB$11=0,"",BB23/$BB$11)</f>
        <v/>
      </c>
    </row>
    <row r="24" ht="21" customHeight="1">
      <c r="A24" s="22" t="n"/>
      <c r="B24" s="23" t="inlineStr">
        <is>
          <t>PD</t>
        </is>
      </c>
      <c r="C24" s="31" t="n"/>
      <c r="D24" s="32" t="n"/>
      <c r="E24" s="32" t="n"/>
      <c r="F24" s="31" t="n"/>
      <c r="G24" s="32" t="n"/>
      <c r="H24" s="32" t="n"/>
      <c r="I24" s="31" t="n"/>
      <c r="J24" s="32" t="n"/>
      <c r="K24" s="32" t="n"/>
      <c r="L24" s="31" t="n"/>
      <c r="M24" s="32" t="n"/>
      <c r="N24" s="32" t="n"/>
      <c r="O24" s="31" t="n"/>
      <c r="P24" s="32" t="n"/>
      <c r="Q24" s="32" t="n"/>
      <c r="R24" s="31" t="n"/>
      <c r="S24" s="32" t="n"/>
      <c r="T24" s="32" t="n"/>
      <c r="U24" s="31" t="n"/>
      <c r="V24" s="32" t="n"/>
      <c r="W24" s="32" t="n"/>
      <c r="X24" s="31" t="n"/>
      <c r="Y24" s="32" t="n"/>
      <c r="Z24" s="32" t="n"/>
      <c r="AA24" s="33" t="n"/>
      <c r="AB24" s="32" t="n"/>
      <c r="AC24" s="32" t="n"/>
      <c r="AD24" s="31" t="n"/>
      <c r="AE24" s="32" t="n"/>
      <c r="AF24" s="32" t="n"/>
      <c r="AG24" s="31" t="n"/>
      <c r="AH24" s="32" t="n"/>
      <c r="AI24" s="32" t="n"/>
      <c r="AJ24" s="31" t="n"/>
      <c r="AK24" s="32" t="n"/>
      <c r="AL24" s="32" t="n"/>
      <c r="AM24" s="31" t="n"/>
      <c r="AN24" s="32" t="n"/>
      <c r="AO24" s="32" t="n"/>
      <c r="AP24" s="31" t="n"/>
      <c r="AQ24" s="32" t="n"/>
      <c r="AR24" s="32" t="n"/>
      <c r="AS24" s="31" t="n"/>
      <c r="AT24" s="32" t="n"/>
      <c r="AU24" s="32" t="n"/>
      <c r="AV24" s="31" t="n"/>
      <c r="AW24" s="32" t="n"/>
      <c r="AX24" s="32" t="n"/>
      <c r="AY24" s="27" t="inlineStr">
        <is>
          <t>PD</t>
        </is>
      </c>
    </row>
    <row r="25" ht="21" customHeight="1">
      <c r="A25" s="22" t="n"/>
      <c r="B25" s="23" t="inlineStr">
        <is>
          <t>CEJ-GM</t>
        </is>
      </c>
      <c r="C25" s="24" t="n"/>
      <c r="D25" s="25" t="n"/>
      <c r="E25" s="25" t="n"/>
      <c r="F25" s="24" t="n"/>
      <c r="G25" s="25" t="n"/>
      <c r="H25" s="25" t="n"/>
      <c r="I25" s="24" t="n"/>
      <c r="J25" s="25" t="n"/>
      <c r="K25" s="25" t="n"/>
      <c r="L25" s="24" t="n"/>
      <c r="M25" s="25" t="n"/>
      <c r="N25" s="25" t="n"/>
      <c r="O25" s="24" t="n"/>
      <c r="P25" s="25" t="n"/>
      <c r="Q25" s="25" t="n"/>
      <c r="R25" s="24" t="n"/>
      <c r="S25" s="25" t="n"/>
      <c r="T25" s="25" t="n"/>
      <c r="U25" s="24" t="n"/>
      <c r="V25" s="25" t="n"/>
      <c r="W25" s="25" t="n"/>
      <c r="X25" s="24" t="n"/>
      <c r="Y25" s="25" t="n"/>
      <c r="Z25" s="25" t="n"/>
      <c r="AA25" s="26" t="n"/>
      <c r="AB25" s="25" t="n"/>
      <c r="AC25" s="25" t="n"/>
      <c r="AD25" s="24" t="n"/>
      <c r="AE25" s="25" t="n"/>
      <c r="AF25" s="25" t="n"/>
      <c r="AG25" s="24" t="n"/>
      <c r="AH25" s="25" t="n"/>
      <c r="AI25" s="25" t="n"/>
      <c r="AJ25" s="24" t="n"/>
      <c r="AK25" s="25" t="n"/>
      <c r="AL25" s="25" t="n"/>
      <c r="AM25" s="24" t="n"/>
      <c r="AN25" s="25" t="n"/>
      <c r="AO25" s="25" t="n"/>
      <c r="AP25" s="24" t="n"/>
      <c r="AQ25" s="25" t="n"/>
      <c r="AR25" s="25" t="n"/>
      <c r="AS25" s="24" t="n"/>
      <c r="AT25" s="25" t="n"/>
      <c r="AU25" s="25" t="n"/>
      <c r="AV25" s="24" t="n"/>
      <c r="AW25" s="25" t="n"/>
      <c r="AX25" s="25" t="n"/>
      <c r="AY25" s="27" t="inlineStr">
        <is>
          <t>CEJ-GM</t>
        </is>
      </c>
    </row>
    <row r="26" ht="21" customHeight="1">
      <c r="A26" s="22" t="n"/>
      <c r="B26" s="23" t="inlineStr">
        <is>
          <t>BOP</t>
        </is>
      </c>
      <c r="C26" s="24" t="n"/>
      <c r="D26" s="25" t="n"/>
      <c r="E26" s="25" t="n"/>
      <c r="F26" s="24" t="n"/>
      <c r="G26" s="25" t="n"/>
      <c r="H26" s="25" t="n"/>
      <c r="I26" s="24" t="n"/>
      <c r="J26" s="25" t="n"/>
      <c r="K26" s="25" t="n"/>
      <c r="L26" s="24" t="n"/>
      <c r="M26" s="25" t="n"/>
      <c r="N26" s="25" t="n"/>
      <c r="O26" s="24" t="n"/>
      <c r="P26" s="25" t="n"/>
      <c r="Q26" s="25" t="n"/>
      <c r="R26" s="24" t="n"/>
      <c r="S26" s="25" t="n"/>
      <c r="T26" s="25" t="n"/>
      <c r="U26" s="24" t="n"/>
      <c r="V26" s="25" t="n"/>
      <c r="W26" s="25" t="n"/>
      <c r="X26" s="24" t="n"/>
      <c r="Y26" s="25" t="n"/>
      <c r="Z26" s="25" t="n"/>
      <c r="AA26" s="26" t="n"/>
      <c r="AB26" s="25" t="n"/>
      <c r="AC26" s="25" t="n"/>
      <c r="AD26" s="24" t="n"/>
      <c r="AE26" s="25" t="n"/>
      <c r="AF26" s="25" t="n"/>
      <c r="AG26" s="24" t="n"/>
      <c r="AH26" s="25" t="n"/>
      <c r="AI26" s="25" t="n"/>
      <c r="AJ26" s="24" t="n"/>
      <c r="AK26" s="25" t="n"/>
      <c r="AL26" s="25" t="n"/>
      <c r="AM26" s="24" t="n"/>
      <c r="AN26" s="25" t="n"/>
      <c r="AO26" s="25" t="n"/>
      <c r="AP26" s="24" t="n"/>
      <c r="AQ26" s="25" t="n"/>
      <c r="AR26" s="25" t="n"/>
      <c r="AS26" s="24" t="n"/>
      <c r="AT26" s="25" t="n"/>
      <c r="AU26" s="25" t="n"/>
      <c r="AV26" s="24" t="n"/>
      <c r="AW26" s="25" t="n"/>
      <c r="AX26" s="25" t="n"/>
      <c r="AY26" s="27" t="inlineStr">
        <is>
          <t>BOP</t>
        </is>
      </c>
    </row>
    <row r="27" ht="21" customHeight="1">
      <c r="A27" s="22" t="n"/>
      <c r="B27" s="23" t="inlineStr">
        <is>
          <t>PLAQUE</t>
        </is>
      </c>
      <c r="C27" s="24" t="n"/>
      <c r="D27" s="25" t="n"/>
      <c r="E27" s="25" t="n"/>
      <c r="F27" s="24" t="n"/>
      <c r="G27" s="25" t="n"/>
      <c r="H27" s="25" t="n"/>
      <c r="I27" s="24" t="n"/>
      <c r="J27" s="25" t="n"/>
      <c r="K27" s="25" t="n"/>
      <c r="L27" s="24" t="n"/>
      <c r="M27" s="25" t="n"/>
      <c r="N27" s="25" t="n"/>
      <c r="O27" s="24" t="n"/>
      <c r="P27" s="25" t="n"/>
      <c r="Q27" s="25" t="n"/>
      <c r="R27" s="24" t="n"/>
      <c r="S27" s="25" t="n"/>
      <c r="T27" s="25" t="n"/>
      <c r="U27" s="24" t="n"/>
      <c r="V27" s="25" t="n"/>
      <c r="W27" s="25" t="n"/>
      <c r="X27" s="24" t="n"/>
      <c r="Y27" s="25" t="n"/>
      <c r="Z27" s="25" t="n"/>
      <c r="AA27" s="26" t="n"/>
      <c r="AB27" s="25" t="n"/>
      <c r="AC27" s="25" t="n"/>
      <c r="AD27" s="24" t="n"/>
      <c r="AE27" s="25" t="n"/>
      <c r="AF27" s="25" t="n"/>
      <c r="AG27" s="24" t="n"/>
      <c r="AH27" s="25" t="n"/>
      <c r="AI27" s="25" t="n"/>
      <c r="AJ27" s="24" t="n"/>
      <c r="AK27" s="25" t="n"/>
      <c r="AL27" s="25" t="n"/>
      <c r="AM27" s="24" t="n"/>
      <c r="AN27" s="25" t="n"/>
      <c r="AO27" s="25" t="n"/>
      <c r="AP27" s="24" t="n"/>
      <c r="AQ27" s="25" t="n"/>
      <c r="AR27" s="25" t="n"/>
      <c r="AS27" s="24" t="n"/>
      <c r="AT27" s="25" t="n"/>
      <c r="AU27" s="25" t="n"/>
      <c r="AV27" s="24" t="n"/>
      <c r="AW27" s="25" t="n"/>
      <c r="AX27" s="25" t="n"/>
      <c r="AY27" s="27" t="inlineStr">
        <is>
          <t>PLAQUE</t>
        </is>
      </c>
    </row>
    <row r="28" ht="18" customHeight="1">
      <c r="A28" s="61" t="inlineStr">
        <is>
          <t>MAXILLA</t>
        </is>
      </c>
      <c r="B28" s="62" t="n"/>
      <c r="C28" s="63" t="n">
        <v>18</v>
      </c>
      <c r="D28" s="64" t="n"/>
      <c r="E28" s="64" t="n"/>
      <c r="F28" s="63" t="n">
        <v>17</v>
      </c>
      <c r="G28" s="64" t="n"/>
      <c r="H28" s="64" t="n"/>
      <c r="I28" s="63" t="n">
        <v>16</v>
      </c>
      <c r="J28" s="64" t="n"/>
      <c r="K28" s="64" t="n"/>
      <c r="L28" s="63" t="n">
        <v>15</v>
      </c>
      <c r="M28" s="64" t="n"/>
      <c r="N28" s="64" t="n"/>
      <c r="O28" s="63" t="n">
        <v>14</v>
      </c>
      <c r="P28" s="64" t="n"/>
      <c r="Q28" s="64" t="n"/>
      <c r="R28" s="63" t="n">
        <v>13</v>
      </c>
      <c r="S28" s="64" t="n"/>
      <c r="T28" s="64" t="n"/>
      <c r="U28" s="63" t="n">
        <v>12</v>
      </c>
      <c r="V28" s="64" t="n"/>
      <c r="W28" s="64" t="n"/>
      <c r="X28" s="63" t="n">
        <v>11</v>
      </c>
      <c r="Y28" s="64" t="n"/>
      <c r="Z28" s="64" t="n"/>
      <c r="AA28" s="65" t="n">
        <v>21</v>
      </c>
      <c r="AB28" s="64" t="n"/>
      <c r="AC28" s="64" t="n"/>
      <c r="AD28" s="63" t="n">
        <v>22</v>
      </c>
      <c r="AE28" s="64" t="n"/>
      <c r="AF28" s="64" t="n"/>
      <c r="AG28" s="63" t="n">
        <v>23</v>
      </c>
      <c r="AH28" s="64" t="n"/>
      <c r="AI28" s="64" t="n"/>
      <c r="AJ28" s="63" t="n">
        <v>24</v>
      </c>
      <c r="AK28" s="64" t="n"/>
      <c r="AL28" s="64" t="n"/>
      <c r="AM28" s="63" t="n">
        <v>25</v>
      </c>
      <c r="AN28" s="64" t="n"/>
      <c r="AO28" s="64" t="n"/>
      <c r="AP28" s="63" t="n">
        <v>26</v>
      </c>
      <c r="AQ28" s="64" t="n"/>
      <c r="AR28" s="64" t="n"/>
      <c r="AS28" s="63" t="n">
        <v>27</v>
      </c>
      <c r="AT28" s="64" t="n"/>
      <c r="AU28" s="64" t="n"/>
      <c r="AV28" s="63" t="n">
        <v>28</v>
      </c>
      <c r="AW28" s="64" t="n"/>
      <c r="AX28" s="64" t="n"/>
      <c r="AY28" s="66" t="n"/>
    </row>
    <row r="29" ht="7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</row>
    <row r="30" ht="7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</row>
    <row r="31" ht="18" customHeight="1">
      <c r="A31" s="15" t="inlineStr">
        <is>
          <t>MANDIBLE</t>
        </is>
      </c>
      <c r="B31" s="16" t="n"/>
      <c r="C31" s="17" t="n">
        <v>48</v>
      </c>
      <c r="D31" s="18" t="n"/>
      <c r="E31" s="18" t="n"/>
      <c r="F31" s="17" t="n">
        <v>47</v>
      </c>
      <c r="G31" s="18" t="n"/>
      <c r="H31" s="18" t="n"/>
      <c r="I31" s="17" t="n">
        <v>46</v>
      </c>
      <c r="J31" s="18" t="n"/>
      <c r="K31" s="18" t="n"/>
      <c r="L31" s="17" t="n">
        <v>45</v>
      </c>
      <c r="M31" s="18" t="n"/>
      <c r="N31" s="18" t="n"/>
      <c r="O31" s="17" t="n">
        <v>44</v>
      </c>
      <c r="P31" s="18" t="n"/>
      <c r="Q31" s="18" t="n"/>
      <c r="R31" s="17" t="n">
        <v>43</v>
      </c>
      <c r="S31" s="18" t="n"/>
      <c r="T31" s="18" t="n"/>
      <c r="U31" s="17" t="n">
        <v>42</v>
      </c>
      <c r="V31" s="18" t="n"/>
      <c r="W31" s="18" t="n"/>
      <c r="X31" s="17" t="n">
        <v>41</v>
      </c>
      <c r="Y31" s="18" t="n"/>
      <c r="Z31" s="18" t="n"/>
      <c r="AA31" s="19" t="n">
        <v>31</v>
      </c>
      <c r="AB31" s="18" t="n"/>
      <c r="AC31" s="18" t="n"/>
      <c r="AD31" s="17" t="n">
        <v>32</v>
      </c>
      <c r="AE31" s="18" t="n"/>
      <c r="AF31" s="18" t="n"/>
      <c r="AG31" s="17" t="n">
        <v>33</v>
      </c>
      <c r="AH31" s="18" t="n"/>
      <c r="AI31" s="18" t="n"/>
      <c r="AJ31" s="17" t="n">
        <v>34</v>
      </c>
      <c r="AK31" s="18" t="n"/>
      <c r="AL31" s="18" t="n"/>
      <c r="AM31" s="17" t="n">
        <v>35</v>
      </c>
      <c r="AN31" s="18" t="n"/>
      <c r="AO31" s="18" t="n"/>
      <c r="AP31" s="17" t="n">
        <v>36</v>
      </c>
      <c r="AQ31" s="18" t="n"/>
      <c r="AR31" s="18" t="n"/>
      <c r="AS31" s="17" t="n">
        <v>37</v>
      </c>
      <c r="AT31" s="18" t="n"/>
      <c r="AU31" s="18" t="n"/>
      <c r="AV31" s="17" t="n">
        <v>38</v>
      </c>
      <c r="AW31" s="18" t="n"/>
      <c r="AX31" s="18" t="n"/>
      <c r="AY31" s="20" t="n"/>
    </row>
    <row r="32" ht="21" customHeight="1">
      <c r="A32" s="22" t="inlineStr">
        <is>
          <t>LINGUAL</t>
        </is>
      </c>
      <c r="B32" s="23" t="inlineStr">
        <is>
          <t>PLAQUE</t>
        </is>
      </c>
      <c r="C32" s="24" t="n"/>
      <c r="D32" s="25" t="n"/>
      <c r="E32" s="25" t="n"/>
      <c r="F32" s="24" t="n"/>
      <c r="G32" s="25" t="n"/>
      <c r="H32" s="25" t="n"/>
      <c r="I32" s="24" t="n"/>
      <c r="J32" s="25" t="n"/>
      <c r="K32" s="25" t="n"/>
      <c r="L32" s="24" t="n"/>
      <c r="M32" s="25" t="n"/>
      <c r="N32" s="25" t="n"/>
      <c r="O32" s="24" t="n"/>
      <c r="P32" s="25" t="n"/>
      <c r="Q32" s="25" t="n"/>
      <c r="R32" s="24" t="n"/>
      <c r="S32" s="25" t="n"/>
      <c r="T32" s="25" t="n"/>
      <c r="U32" s="24" t="n"/>
      <c r="V32" s="25" t="n"/>
      <c r="W32" s="25" t="n"/>
      <c r="X32" s="24" t="n"/>
      <c r="Y32" s="25" t="n"/>
      <c r="Z32" s="25" t="n"/>
      <c r="AA32" s="26" t="n"/>
      <c r="AB32" s="25" t="n"/>
      <c r="AC32" s="25" t="n"/>
      <c r="AD32" s="24" t="n"/>
      <c r="AE32" s="25" t="n"/>
      <c r="AF32" s="25" t="n"/>
      <c r="AG32" s="24" t="n"/>
      <c r="AH32" s="25" t="n"/>
      <c r="AI32" s="25" t="n"/>
      <c r="AJ32" s="24" t="n"/>
      <c r="AK32" s="25" t="n"/>
      <c r="AL32" s="25" t="n"/>
      <c r="AM32" s="24" t="n"/>
      <c r="AN32" s="25" t="n"/>
      <c r="AO32" s="25" t="n"/>
      <c r="AP32" s="24" t="n"/>
      <c r="AQ32" s="25" t="n"/>
      <c r="AR32" s="25" t="n"/>
      <c r="AS32" s="24" t="n"/>
      <c r="AT32" s="25" t="n"/>
      <c r="AU32" s="25" t="n"/>
      <c r="AV32" s="24" t="n"/>
      <c r="AW32" s="25" t="n"/>
      <c r="AX32" s="25" t="n"/>
      <c r="AY32" s="27" t="inlineStr">
        <is>
          <t>PLAQUE</t>
        </is>
      </c>
    </row>
    <row r="33" ht="21" customHeight="1">
      <c r="A33" s="22" t="n"/>
      <c r="B33" s="23" t="inlineStr">
        <is>
          <t>BOP</t>
        </is>
      </c>
      <c r="C33" s="24" t="n"/>
      <c r="D33" s="25" t="n"/>
      <c r="E33" s="25" t="n"/>
      <c r="F33" s="24" t="n"/>
      <c r="G33" s="25" t="n"/>
      <c r="H33" s="25" t="n"/>
      <c r="I33" s="24" t="n"/>
      <c r="J33" s="25" t="n"/>
      <c r="K33" s="25" t="n"/>
      <c r="L33" s="24" t="n"/>
      <c r="M33" s="25" t="n"/>
      <c r="N33" s="25" t="n"/>
      <c r="O33" s="24" t="n"/>
      <c r="P33" s="25" t="n"/>
      <c r="Q33" s="25" t="n"/>
      <c r="R33" s="24" t="n"/>
      <c r="S33" s="25" t="n"/>
      <c r="T33" s="25" t="n"/>
      <c r="U33" s="24" t="n"/>
      <c r="V33" s="25" t="n"/>
      <c r="W33" s="25" t="n"/>
      <c r="X33" s="24" t="n"/>
      <c r="Y33" s="25" t="n"/>
      <c r="Z33" s="25" t="n"/>
      <c r="AA33" s="26" t="n"/>
      <c r="AB33" s="25" t="n"/>
      <c r="AC33" s="25" t="n"/>
      <c r="AD33" s="24" t="n"/>
      <c r="AE33" s="25" t="n"/>
      <c r="AF33" s="25" t="n"/>
      <c r="AG33" s="24" t="n"/>
      <c r="AH33" s="25" t="n"/>
      <c r="AI33" s="25" t="n"/>
      <c r="AJ33" s="24" t="n"/>
      <c r="AK33" s="25" t="n"/>
      <c r="AL33" s="25" t="n"/>
      <c r="AM33" s="24" t="n"/>
      <c r="AN33" s="25" t="n"/>
      <c r="AO33" s="25" t="n"/>
      <c r="AP33" s="24" t="n"/>
      <c r="AQ33" s="25" t="n"/>
      <c r="AR33" s="25" t="n"/>
      <c r="AS33" s="24" t="n"/>
      <c r="AT33" s="25" t="n"/>
      <c r="AU33" s="25" t="n"/>
      <c r="AV33" s="24" t="n"/>
      <c r="AW33" s="25" t="n"/>
      <c r="AX33" s="25" t="n"/>
      <c r="AY33" s="27" t="inlineStr">
        <is>
          <t>BOP</t>
        </is>
      </c>
    </row>
    <row r="34" ht="21" customHeight="1">
      <c r="A34" s="22" t="n"/>
      <c r="B34" s="23" t="inlineStr">
        <is>
          <t>CEJ-GM</t>
        </is>
      </c>
      <c r="C34" s="24" t="n"/>
      <c r="D34" s="25" t="n"/>
      <c r="E34" s="25" t="n"/>
      <c r="F34" s="24" t="n"/>
      <c r="G34" s="25" t="n"/>
      <c r="H34" s="25" t="n"/>
      <c r="I34" s="24" t="n"/>
      <c r="J34" s="25" t="n"/>
      <c r="K34" s="25" t="n"/>
      <c r="L34" s="24" t="n"/>
      <c r="M34" s="25" t="n"/>
      <c r="N34" s="25" t="n"/>
      <c r="O34" s="24" t="n"/>
      <c r="P34" s="25" t="n"/>
      <c r="Q34" s="25" t="n"/>
      <c r="R34" s="24" t="n"/>
      <c r="S34" s="25" t="n"/>
      <c r="T34" s="25" t="n"/>
      <c r="U34" s="24" t="n"/>
      <c r="V34" s="25" t="n"/>
      <c r="W34" s="25" t="n"/>
      <c r="X34" s="24" t="n"/>
      <c r="Y34" s="25" t="n"/>
      <c r="Z34" s="25" t="n"/>
      <c r="AA34" s="26" t="n"/>
      <c r="AB34" s="25" t="n"/>
      <c r="AC34" s="25" t="n"/>
      <c r="AD34" s="24" t="n"/>
      <c r="AE34" s="25" t="n"/>
      <c r="AF34" s="25" t="n"/>
      <c r="AG34" s="24" t="n"/>
      <c r="AH34" s="25" t="n"/>
      <c r="AI34" s="25" t="n"/>
      <c r="AJ34" s="24" t="n"/>
      <c r="AK34" s="25" t="n"/>
      <c r="AL34" s="25" t="n"/>
      <c r="AM34" s="24" t="n"/>
      <c r="AN34" s="25" t="n"/>
      <c r="AO34" s="25" t="n"/>
      <c r="AP34" s="24" t="n"/>
      <c r="AQ34" s="25" t="n"/>
      <c r="AR34" s="25" t="n"/>
      <c r="AS34" s="24" t="n"/>
      <c r="AT34" s="25" t="n"/>
      <c r="AU34" s="25" t="n"/>
      <c r="AV34" s="24" t="n"/>
      <c r="AW34" s="25" t="n"/>
      <c r="AX34" s="25" t="n"/>
      <c r="AY34" s="27" t="inlineStr">
        <is>
          <t>CEJ-GM</t>
        </is>
      </c>
    </row>
    <row r="35" ht="21" customHeight="1">
      <c r="A35" s="22" t="n"/>
      <c r="B35" s="23" t="inlineStr">
        <is>
          <t>PD</t>
        </is>
      </c>
      <c r="C35" s="31" t="n"/>
      <c r="D35" s="32" t="n"/>
      <c r="E35" s="32" t="n"/>
      <c r="F35" s="31" t="n"/>
      <c r="G35" s="32" t="n"/>
      <c r="H35" s="32" t="n"/>
      <c r="I35" s="31" t="n"/>
      <c r="J35" s="32" t="n"/>
      <c r="K35" s="32" t="n"/>
      <c r="L35" s="31" t="n"/>
      <c r="M35" s="32" t="n"/>
      <c r="N35" s="32" t="n"/>
      <c r="O35" s="31" t="n"/>
      <c r="P35" s="32" t="n"/>
      <c r="Q35" s="32" t="n"/>
      <c r="R35" s="31" t="n"/>
      <c r="S35" s="32" t="n"/>
      <c r="T35" s="32" t="n"/>
      <c r="U35" s="31" t="n"/>
      <c r="V35" s="32" t="n"/>
      <c r="W35" s="32" t="n"/>
      <c r="X35" s="31" t="n"/>
      <c r="Y35" s="32" t="n"/>
      <c r="Z35" s="32" t="n"/>
      <c r="AA35" s="33" t="n"/>
      <c r="AB35" s="32" t="n"/>
      <c r="AC35" s="32" t="n"/>
      <c r="AD35" s="31" t="n"/>
      <c r="AE35" s="32" t="n"/>
      <c r="AF35" s="32" t="n"/>
      <c r="AG35" s="31" t="n"/>
      <c r="AH35" s="32" t="n"/>
      <c r="AI35" s="32" t="n"/>
      <c r="AJ35" s="31" t="n"/>
      <c r="AK35" s="32" t="n"/>
      <c r="AL35" s="32" t="n"/>
      <c r="AM35" s="31" t="n"/>
      <c r="AN35" s="32" t="n"/>
      <c r="AO35" s="32" t="n"/>
      <c r="AP35" s="31" t="n"/>
      <c r="AQ35" s="32" t="n"/>
      <c r="AR35" s="32" t="n"/>
      <c r="AS35" s="31" t="n"/>
      <c r="AT35" s="32" t="n"/>
      <c r="AU35" s="32" t="n"/>
      <c r="AV35" s="31" t="n"/>
      <c r="AW35" s="32" t="n"/>
      <c r="AX35" s="32" t="n"/>
      <c r="AY35" s="27" t="inlineStr">
        <is>
          <t>PD</t>
        </is>
      </c>
    </row>
    <row r="36" ht="19" customHeight="1">
      <c r="A36" s="34" t="n"/>
      <c r="B36" s="35" t="inlineStr">
        <is>
          <t>CAL</t>
        </is>
      </c>
      <c r="C36" s="36">
        <f>IF(C35="","",C35+N(C34))</f>
        <v/>
      </c>
      <c r="D36" s="37">
        <f>IF(D35="","",D35+N(D34))</f>
        <v/>
      </c>
      <c r="E36" s="37">
        <f>IF(E35="","",E35+N(E34))</f>
        <v/>
      </c>
      <c r="F36" s="36">
        <f>IF(F35="","",F35+N(F34))</f>
        <v/>
      </c>
      <c r="G36" s="37">
        <f>IF(G35="","",G35+N(G34))</f>
        <v/>
      </c>
      <c r="H36" s="37">
        <f>IF(H35="","",H35+N(H34))</f>
        <v/>
      </c>
      <c r="I36" s="36">
        <f>IF(I35="","",I35+N(I34))</f>
        <v/>
      </c>
      <c r="J36" s="37">
        <f>IF(J35="","",J35+N(J34))</f>
        <v/>
      </c>
      <c r="K36" s="37">
        <f>IF(K35="","",K35+N(K34))</f>
        <v/>
      </c>
      <c r="L36" s="36">
        <f>IF(L35="","",L35+N(L34))</f>
        <v/>
      </c>
      <c r="M36" s="37">
        <f>IF(M35="","",M35+N(M34))</f>
        <v/>
      </c>
      <c r="N36" s="37">
        <f>IF(N35="","",N35+N(N34))</f>
        <v/>
      </c>
      <c r="O36" s="36">
        <f>IF(O35="","",O35+N(O34))</f>
        <v/>
      </c>
      <c r="P36" s="37">
        <f>IF(P35="","",P35+N(P34))</f>
        <v/>
      </c>
      <c r="Q36" s="37">
        <f>IF(Q35="","",Q35+N(Q34))</f>
        <v/>
      </c>
      <c r="R36" s="36">
        <f>IF(R35="","",R35+N(R34))</f>
        <v/>
      </c>
      <c r="S36" s="37">
        <f>IF(S35="","",S35+N(S34))</f>
        <v/>
      </c>
      <c r="T36" s="37">
        <f>IF(T35="","",T35+N(T34))</f>
        <v/>
      </c>
      <c r="U36" s="36">
        <f>IF(U35="","",U35+N(U34))</f>
        <v/>
      </c>
      <c r="V36" s="37">
        <f>IF(V35="","",V35+N(V34))</f>
        <v/>
      </c>
      <c r="W36" s="37">
        <f>IF(W35="","",W35+N(W34))</f>
        <v/>
      </c>
      <c r="X36" s="36">
        <f>IF(X35="","",X35+N(X34))</f>
        <v/>
      </c>
      <c r="Y36" s="37">
        <f>IF(Y35="","",Y35+N(Y34))</f>
        <v/>
      </c>
      <c r="Z36" s="37">
        <f>IF(Z35="","",Z35+N(Z34))</f>
        <v/>
      </c>
      <c r="AA36" s="38">
        <f>IF(AA35="","",AA35+N(AA34))</f>
        <v/>
      </c>
      <c r="AB36" s="37">
        <f>IF(AB35="","",AB35+N(AB34))</f>
        <v/>
      </c>
      <c r="AC36" s="37">
        <f>IF(AC35="","",AC35+N(AC34))</f>
        <v/>
      </c>
      <c r="AD36" s="36">
        <f>IF(AD35="","",AD35+N(AD34))</f>
        <v/>
      </c>
      <c r="AE36" s="37">
        <f>IF(AE35="","",AE35+N(AE34))</f>
        <v/>
      </c>
      <c r="AF36" s="37">
        <f>IF(AF35="","",AF35+N(AF34))</f>
        <v/>
      </c>
      <c r="AG36" s="36">
        <f>IF(AG35="","",AG35+N(AG34))</f>
        <v/>
      </c>
      <c r="AH36" s="37">
        <f>IF(AH35="","",AH35+N(AH34))</f>
        <v/>
      </c>
      <c r="AI36" s="37">
        <f>IF(AI35="","",AI35+N(AI34))</f>
        <v/>
      </c>
      <c r="AJ36" s="36">
        <f>IF(AJ35="","",AJ35+N(AJ34))</f>
        <v/>
      </c>
      <c r="AK36" s="37">
        <f>IF(AK35="","",AK35+N(AK34))</f>
        <v/>
      </c>
      <c r="AL36" s="37">
        <f>IF(AL35="","",AL35+N(AL34))</f>
        <v/>
      </c>
      <c r="AM36" s="36">
        <f>IF(AM35="","",AM35+N(AM34))</f>
        <v/>
      </c>
      <c r="AN36" s="37">
        <f>IF(AN35="","",AN35+N(AN34))</f>
        <v/>
      </c>
      <c r="AO36" s="37">
        <f>IF(AO35="","",AO35+N(AO34))</f>
        <v/>
      </c>
      <c r="AP36" s="36">
        <f>IF(AP35="","",AP35+N(AP34))</f>
        <v/>
      </c>
      <c r="AQ36" s="37">
        <f>IF(AQ35="","",AQ35+N(AQ34))</f>
        <v/>
      </c>
      <c r="AR36" s="37">
        <f>IF(AR35="","",AR35+N(AR34))</f>
        <v/>
      </c>
      <c r="AS36" s="36">
        <f>IF(AS35="","",AS35+N(AS34))</f>
        <v/>
      </c>
      <c r="AT36" s="37">
        <f>IF(AT35="","",AT35+N(AT34))</f>
        <v/>
      </c>
      <c r="AU36" s="37">
        <f>IF(AU35="","",AU35+N(AU34))</f>
        <v/>
      </c>
      <c r="AV36" s="36">
        <f>IF(AV35="","",AV35+N(AV34))</f>
        <v/>
      </c>
      <c r="AW36" s="37">
        <f>IF(AW35="","",AW35+N(AW34))</f>
        <v/>
      </c>
      <c r="AX36" s="37">
        <f>IF(AX35="","",AX35+N(AX34))</f>
        <v/>
      </c>
      <c r="AY36" s="39" t="inlineStr">
        <is>
          <t>CAL</t>
        </is>
      </c>
    </row>
    <row r="37" ht="18.59" customHeight="1">
      <c r="A37" s="41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3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  <c r="AO37" s="42" t="n"/>
      <c r="AP37" s="42" t="n"/>
      <c r="AQ37" s="42" t="n"/>
      <c r="AR37" s="42" t="n"/>
      <c r="AS37" s="42" t="n"/>
      <c r="AT37" s="42" t="n"/>
      <c r="AU37" s="42" t="n"/>
      <c r="AV37" s="42" t="n"/>
      <c r="AW37" s="42" t="n"/>
      <c r="AX37" s="42" t="n"/>
      <c r="AY37" s="44" t="n"/>
    </row>
    <row r="38" ht="18.59" customHeight="1">
      <c r="A38" s="47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9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50" t="n"/>
    </row>
    <row r="39" ht="18.59" customHeight="1">
      <c r="A39" s="47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9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8" t="n"/>
      <c r="AP39" s="48" t="n"/>
      <c r="AQ39" s="48" t="n"/>
      <c r="AR39" s="48" t="n"/>
      <c r="AS39" s="48" t="n"/>
      <c r="AT39" s="48" t="n"/>
      <c r="AU39" s="48" t="n"/>
      <c r="AV39" s="48" t="n"/>
      <c r="AW39" s="48" t="n"/>
      <c r="AX39" s="48" t="n"/>
      <c r="AY39" s="50" t="n"/>
    </row>
    <row r="40" ht="18.59" customHeight="1">
      <c r="A40" s="47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9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48" t="n"/>
      <c r="AK40" s="48" t="n"/>
      <c r="AL40" s="48" t="n"/>
      <c r="AM40" s="48" t="n"/>
      <c r="AN40" s="48" t="n"/>
      <c r="AO40" s="48" t="n"/>
      <c r="AP40" s="48" t="n"/>
      <c r="AQ40" s="48" t="n"/>
      <c r="AR40" s="48" t="n"/>
      <c r="AS40" s="48" t="n"/>
      <c r="AT40" s="48" t="n"/>
      <c r="AU40" s="48" t="n"/>
      <c r="AV40" s="48" t="n"/>
      <c r="AW40" s="48" t="n"/>
      <c r="AX40" s="48" t="n"/>
      <c r="AY40" s="50" t="n"/>
    </row>
    <row r="41" ht="18.59" customHeight="1">
      <c r="A41" s="47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9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50" t="n"/>
    </row>
    <row r="42" ht="18.59" customHeight="1">
      <c r="A42" s="47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9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8" t="n"/>
      <c r="AP42" s="48" t="n"/>
      <c r="AQ42" s="48" t="n"/>
      <c r="AR42" s="48" t="n"/>
      <c r="AS42" s="48" t="n"/>
      <c r="AT42" s="48" t="n"/>
      <c r="AU42" s="48" t="n"/>
      <c r="AV42" s="48" t="n"/>
      <c r="AW42" s="48" t="n"/>
      <c r="AX42" s="48" t="n"/>
      <c r="AY42" s="50" t="n"/>
    </row>
    <row r="43" ht="18.59" customHeight="1">
      <c r="A43" s="51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3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4" t="n"/>
    </row>
    <row r="44" ht="19" customHeight="1">
      <c r="A44" s="55" t="inlineStr">
        <is>
          <t>BUCCAL</t>
        </is>
      </c>
      <c r="B44" s="56" t="inlineStr">
        <is>
          <t>CAL</t>
        </is>
      </c>
      <c r="C44" s="57">
        <f>IF(C45="","",C45+N(C46))</f>
        <v/>
      </c>
      <c r="D44" s="58">
        <f>IF(D45="","",D45+N(D46))</f>
        <v/>
      </c>
      <c r="E44" s="58">
        <f>IF(E45="","",E45+N(E46))</f>
        <v/>
      </c>
      <c r="F44" s="57">
        <f>IF(F45="","",F45+N(F46))</f>
        <v/>
      </c>
      <c r="G44" s="58">
        <f>IF(G45="","",G45+N(G46))</f>
        <v/>
      </c>
      <c r="H44" s="58">
        <f>IF(H45="","",H45+N(H46))</f>
        <v/>
      </c>
      <c r="I44" s="57">
        <f>IF(I45="","",I45+N(I46))</f>
        <v/>
      </c>
      <c r="J44" s="58">
        <f>IF(J45="","",J45+N(J46))</f>
        <v/>
      </c>
      <c r="K44" s="58">
        <f>IF(K45="","",K45+N(K46))</f>
        <v/>
      </c>
      <c r="L44" s="57">
        <f>IF(L45="","",L45+N(L46))</f>
        <v/>
      </c>
      <c r="M44" s="58">
        <f>IF(M45="","",M45+N(M46))</f>
        <v/>
      </c>
      <c r="N44" s="58">
        <f>IF(N45="","",N45+N(N46))</f>
        <v/>
      </c>
      <c r="O44" s="57">
        <f>IF(O45="","",O45+N(O46))</f>
        <v/>
      </c>
      <c r="P44" s="58">
        <f>IF(P45="","",P45+N(P46))</f>
        <v/>
      </c>
      <c r="Q44" s="58">
        <f>IF(Q45="","",Q45+N(Q46))</f>
        <v/>
      </c>
      <c r="R44" s="57">
        <f>IF(R45="","",R45+N(R46))</f>
        <v/>
      </c>
      <c r="S44" s="58">
        <f>IF(S45="","",S45+N(S46))</f>
        <v/>
      </c>
      <c r="T44" s="58">
        <f>IF(T45="","",T45+N(T46))</f>
        <v/>
      </c>
      <c r="U44" s="57">
        <f>IF(U45="","",U45+N(U46))</f>
        <v/>
      </c>
      <c r="V44" s="58">
        <f>IF(V45="","",V45+N(V46))</f>
        <v/>
      </c>
      <c r="W44" s="58">
        <f>IF(W45="","",W45+N(W46))</f>
        <v/>
      </c>
      <c r="X44" s="57">
        <f>IF(X45="","",X45+N(X46))</f>
        <v/>
      </c>
      <c r="Y44" s="58">
        <f>IF(Y45="","",Y45+N(Y46))</f>
        <v/>
      </c>
      <c r="Z44" s="58">
        <f>IF(Z45="","",Z45+N(Z46))</f>
        <v/>
      </c>
      <c r="AA44" s="59">
        <f>IF(AA45="","",AA45+N(AA46))</f>
        <v/>
      </c>
      <c r="AB44" s="58">
        <f>IF(AB45="","",AB45+N(AB46))</f>
        <v/>
      </c>
      <c r="AC44" s="58">
        <f>IF(AC45="","",AC45+N(AC46))</f>
        <v/>
      </c>
      <c r="AD44" s="57">
        <f>IF(AD45="","",AD45+N(AD46))</f>
        <v/>
      </c>
      <c r="AE44" s="58">
        <f>IF(AE45="","",AE45+N(AE46))</f>
        <v/>
      </c>
      <c r="AF44" s="58">
        <f>IF(AF45="","",AF45+N(AF46))</f>
        <v/>
      </c>
      <c r="AG44" s="57">
        <f>IF(AG45="","",AG45+N(AG46))</f>
        <v/>
      </c>
      <c r="AH44" s="58">
        <f>IF(AH45="","",AH45+N(AH46))</f>
        <v/>
      </c>
      <c r="AI44" s="58">
        <f>IF(AI45="","",AI45+N(AI46))</f>
        <v/>
      </c>
      <c r="AJ44" s="57">
        <f>IF(AJ45="","",AJ45+N(AJ46))</f>
        <v/>
      </c>
      <c r="AK44" s="58">
        <f>IF(AK45="","",AK45+N(AK46))</f>
        <v/>
      </c>
      <c r="AL44" s="58">
        <f>IF(AL45="","",AL45+N(AL46))</f>
        <v/>
      </c>
      <c r="AM44" s="57">
        <f>IF(AM45="","",AM45+N(AM46))</f>
        <v/>
      </c>
      <c r="AN44" s="58">
        <f>IF(AN45="","",AN45+N(AN46))</f>
        <v/>
      </c>
      <c r="AO44" s="58">
        <f>IF(AO45="","",AO45+N(AO46))</f>
        <v/>
      </c>
      <c r="AP44" s="57">
        <f>IF(AP45="","",AP45+N(AP46))</f>
        <v/>
      </c>
      <c r="AQ44" s="58">
        <f>IF(AQ45="","",AQ45+N(AQ46))</f>
        <v/>
      </c>
      <c r="AR44" s="58">
        <f>IF(AR45="","",AR45+N(AR46))</f>
        <v/>
      </c>
      <c r="AS44" s="57">
        <f>IF(AS45="","",AS45+N(AS46))</f>
        <v/>
      </c>
      <c r="AT44" s="58">
        <f>IF(AT45="","",AT45+N(AT46))</f>
        <v/>
      </c>
      <c r="AU44" s="58">
        <f>IF(AU45="","",AU45+N(AU46))</f>
        <v/>
      </c>
      <c r="AV44" s="57">
        <f>IF(AV45="","",AV45+N(AV46))</f>
        <v/>
      </c>
      <c r="AW44" s="58">
        <f>IF(AW45="","",AW45+N(AW46))</f>
        <v/>
      </c>
      <c r="AX44" s="58">
        <f>IF(AX45="","",AX45+N(AX46))</f>
        <v/>
      </c>
      <c r="AY44" s="60" t="inlineStr">
        <is>
          <t>CAL</t>
        </is>
      </c>
    </row>
    <row r="45" ht="21" customHeight="1">
      <c r="A45" s="22" t="n"/>
      <c r="B45" s="23" t="inlineStr">
        <is>
          <t>PD</t>
        </is>
      </c>
      <c r="C45" s="31" t="n"/>
      <c r="D45" s="32" t="n"/>
      <c r="E45" s="32" t="n"/>
      <c r="F45" s="31" t="n"/>
      <c r="G45" s="32" t="n"/>
      <c r="H45" s="32" t="n"/>
      <c r="I45" s="31" t="n"/>
      <c r="J45" s="32" t="n"/>
      <c r="K45" s="32" t="n"/>
      <c r="L45" s="31" t="n"/>
      <c r="M45" s="32" t="n"/>
      <c r="N45" s="32" t="n"/>
      <c r="O45" s="31" t="n"/>
      <c r="P45" s="32" t="n"/>
      <c r="Q45" s="32" t="n"/>
      <c r="R45" s="31" t="n"/>
      <c r="S45" s="32" t="n"/>
      <c r="T45" s="32" t="n"/>
      <c r="U45" s="31" t="n"/>
      <c r="V45" s="32" t="n"/>
      <c r="W45" s="32" t="n"/>
      <c r="X45" s="31" t="n"/>
      <c r="Y45" s="32" t="n"/>
      <c r="Z45" s="32" t="n"/>
      <c r="AA45" s="33" t="n"/>
      <c r="AB45" s="32" t="n"/>
      <c r="AC45" s="32" t="n"/>
      <c r="AD45" s="31" t="n"/>
      <c r="AE45" s="32" t="n"/>
      <c r="AF45" s="32" t="n"/>
      <c r="AG45" s="31" t="n"/>
      <c r="AH45" s="32" t="n"/>
      <c r="AI45" s="32" t="n"/>
      <c r="AJ45" s="31" t="n"/>
      <c r="AK45" s="32" t="n"/>
      <c r="AL45" s="32" t="n"/>
      <c r="AM45" s="31" t="n"/>
      <c r="AN45" s="32" t="n"/>
      <c r="AO45" s="32" t="n"/>
      <c r="AP45" s="31" t="n"/>
      <c r="AQ45" s="32" t="n"/>
      <c r="AR45" s="32" t="n"/>
      <c r="AS45" s="31" t="n"/>
      <c r="AT45" s="32" t="n"/>
      <c r="AU45" s="32" t="n"/>
      <c r="AV45" s="31" t="n"/>
      <c r="AW45" s="32" t="n"/>
      <c r="AX45" s="32" t="n"/>
      <c r="AY45" s="27" t="inlineStr">
        <is>
          <t>PD</t>
        </is>
      </c>
    </row>
    <row r="46" ht="21" customHeight="1">
      <c r="A46" s="22" t="n"/>
      <c r="B46" s="23" t="inlineStr">
        <is>
          <t>CEJ-GM</t>
        </is>
      </c>
      <c r="C46" s="24" t="n"/>
      <c r="D46" s="25" t="n"/>
      <c r="E46" s="25" t="n"/>
      <c r="F46" s="24" t="n"/>
      <c r="G46" s="25" t="n"/>
      <c r="H46" s="25" t="n"/>
      <c r="I46" s="24" t="n"/>
      <c r="J46" s="25" t="n"/>
      <c r="K46" s="25" t="n"/>
      <c r="L46" s="24" t="n"/>
      <c r="M46" s="25" t="n"/>
      <c r="N46" s="25" t="n"/>
      <c r="O46" s="24" t="n"/>
      <c r="P46" s="25" t="n"/>
      <c r="Q46" s="25" t="n"/>
      <c r="R46" s="24" t="n"/>
      <c r="S46" s="25" t="n"/>
      <c r="T46" s="25" t="n"/>
      <c r="U46" s="24" t="n"/>
      <c r="V46" s="25" t="n"/>
      <c r="W46" s="25" t="n"/>
      <c r="X46" s="24" t="n"/>
      <c r="Y46" s="25" t="n"/>
      <c r="Z46" s="25" t="n"/>
      <c r="AA46" s="26" t="n"/>
      <c r="AB46" s="25" t="n"/>
      <c r="AC46" s="25" t="n"/>
      <c r="AD46" s="24" t="n"/>
      <c r="AE46" s="25" t="n"/>
      <c r="AF46" s="25" t="n"/>
      <c r="AG46" s="24" t="n"/>
      <c r="AH46" s="25" t="n"/>
      <c r="AI46" s="25" t="n"/>
      <c r="AJ46" s="24" t="n"/>
      <c r="AK46" s="25" t="n"/>
      <c r="AL46" s="25" t="n"/>
      <c r="AM46" s="24" t="n"/>
      <c r="AN46" s="25" t="n"/>
      <c r="AO46" s="25" t="n"/>
      <c r="AP46" s="24" t="n"/>
      <c r="AQ46" s="25" t="n"/>
      <c r="AR46" s="25" t="n"/>
      <c r="AS46" s="24" t="n"/>
      <c r="AT46" s="25" t="n"/>
      <c r="AU46" s="25" t="n"/>
      <c r="AV46" s="24" t="n"/>
      <c r="AW46" s="25" t="n"/>
      <c r="AX46" s="25" t="n"/>
      <c r="AY46" s="27" t="inlineStr">
        <is>
          <t>CEJ-GM</t>
        </is>
      </c>
    </row>
    <row r="47" ht="21" customHeight="1">
      <c r="A47" s="22" t="n"/>
      <c r="B47" s="23" t="inlineStr">
        <is>
          <t>BOP</t>
        </is>
      </c>
      <c r="C47" s="24" t="n"/>
      <c r="D47" s="25" t="n"/>
      <c r="E47" s="25" t="n"/>
      <c r="F47" s="24" t="n"/>
      <c r="G47" s="25" t="n"/>
      <c r="H47" s="25" t="n"/>
      <c r="I47" s="24" t="n"/>
      <c r="J47" s="25" t="n"/>
      <c r="K47" s="25" t="n"/>
      <c r="L47" s="24" t="n"/>
      <c r="M47" s="25" t="n"/>
      <c r="N47" s="25" t="n"/>
      <c r="O47" s="24" t="n"/>
      <c r="P47" s="25" t="n"/>
      <c r="Q47" s="25" t="n"/>
      <c r="R47" s="24" t="n"/>
      <c r="S47" s="25" t="n"/>
      <c r="T47" s="25" t="n"/>
      <c r="U47" s="24" t="n"/>
      <c r="V47" s="25" t="n"/>
      <c r="W47" s="25" t="n"/>
      <c r="X47" s="24" t="n"/>
      <c r="Y47" s="25" t="n"/>
      <c r="Z47" s="25" t="n"/>
      <c r="AA47" s="26" t="n"/>
      <c r="AB47" s="25" t="n"/>
      <c r="AC47" s="25" t="n"/>
      <c r="AD47" s="24" t="n"/>
      <c r="AE47" s="25" t="n"/>
      <c r="AF47" s="25" t="n"/>
      <c r="AG47" s="24" t="n"/>
      <c r="AH47" s="25" t="n"/>
      <c r="AI47" s="25" t="n"/>
      <c r="AJ47" s="24" t="n"/>
      <c r="AK47" s="25" t="n"/>
      <c r="AL47" s="25" t="n"/>
      <c r="AM47" s="24" t="n"/>
      <c r="AN47" s="25" t="n"/>
      <c r="AO47" s="25" t="n"/>
      <c r="AP47" s="24" t="n"/>
      <c r="AQ47" s="25" t="n"/>
      <c r="AR47" s="25" t="n"/>
      <c r="AS47" s="24" t="n"/>
      <c r="AT47" s="25" t="n"/>
      <c r="AU47" s="25" t="n"/>
      <c r="AV47" s="24" t="n"/>
      <c r="AW47" s="25" t="n"/>
      <c r="AX47" s="25" t="n"/>
      <c r="AY47" s="27" t="inlineStr">
        <is>
          <t>BOP</t>
        </is>
      </c>
    </row>
    <row r="48" ht="21" customHeight="1">
      <c r="A48" s="22" t="n"/>
      <c r="B48" s="23" t="inlineStr">
        <is>
          <t>PLAQUE</t>
        </is>
      </c>
      <c r="C48" s="24" t="n"/>
      <c r="D48" s="25" t="n"/>
      <c r="E48" s="25" t="n"/>
      <c r="F48" s="24" t="n"/>
      <c r="G48" s="25" t="n"/>
      <c r="H48" s="25" t="n"/>
      <c r="I48" s="24" t="n"/>
      <c r="J48" s="25" t="n"/>
      <c r="K48" s="25" t="n"/>
      <c r="L48" s="24" t="n"/>
      <c r="M48" s="25" t="n"/>
      <c r="N48" s="25" t="n"/>
      <c r="O48" s="24" t="n"/>
      <c r="P48" s="25" t="n"/>
      <c r="Q48" s="25" t="n"/>
      <c r="R48" s="24" t="n"/>
      <c r="S48" s="25" t="n"/>
      <c r="T48" s="25" t="n"/>
      <c r="U48" s="24" t="n"/>
      <c r="V48" s="25" t="n"/>
      <c r="W48" s="25" t="n"/>
      <c r="X48" s="24" t="n"/>
      <c r="Y48" s="25" t="n"/>
      <c r="Z48" s="25" t="n"/>
      <c r="AA48" s="26" t="n"/>
      <c r="AB48" s="25" t="n"/>
      <c r="AC48" s="25" t="n"/>
      <c r="AD48" s="24" t="n"/>
      <c r="AE48" s="25" t="n"/>
      <c r="AF48" s="25" t="n"/>
      <c r="AG48" s="24" t="n"/>
      <c r="AH48" s="25" t="n"/>
      <c r="AI48" s="25" t="n"/>
      <c r="AJ48" s="24" t="n"/>
      <c r="AK48" s="25" t="n"/>
      <c r="AL48" s="25" t="n"/>
      <c r="AM48" s="24" t="n"/>
      <c r="AN48" s="25" t="n"/>
      <c r="AO48" s="25" t="n"/>
      <c r="AP48" s="24" t="n"/>
      <c r="AQ48" s="25" t="n"/>
      <c r="AR48" s="25" t="n"/>
      <c r="AS48" s="24" t="n"/>
      <c r="AT48" s="25" t="n"/>
      <c r="AU48" s="25" t="n"/>
      <c r="AV48" s="24" t="n"/>
      <c r="AW48" s="25" t="n"/>
      <c r="AX48" s="25" t="n"/>
      <c r="AY48" s="27" t="inlineStr">
        <is>
          <t>PLAQUE</t>
        </is>
      </c>
    </row>
    <row r="49" ht="21" customHeight="1">
      <c r="A49" s="22" t="n"/>
      <c r="B49" s="23" t="inlineStr">
        <is>
          <t>KG</t>
        </is>
      </c>
      <c r="C49" s="24" t="n"/>
      <c r="D49" s="25" t="n"/>
      <c r="E49" s="25" t="n"/>
      <c r="F49" s="24" t="n"/>
      <c r="G49" s="25" t="n"/>
      <c r="H49" s="25" t="n"/>
      <c r="I49" s="24" t="n"/>
      <c r="J49" s="25" t="n"/>
      <c r="K49" s="25" t="n"/>
      <c r="L49" s="24" t="n"/>
      <c r="M49" s="25" t="n"/>
      <c r="N49" s="25" t="n"/>
      <c r="O49" s="24" t="n"/>
      <c r="P49" s="25" t="n"/>
      <c r="Q49" s="25" t="n"/>
      <c r="R49" s="24" t="n"/>
      <c r="S49" s="25" t="n"/>
      <c r="T49" s="25" t="n"/>
      <c r="U49" s="24" t="n"/>
      <c r="V49" s="25" t="n"/>
      <c r="W49" s="25" t="n"/>
      <c r="X49" s="24" t="n"/>
      <c r="Y49" s="25" t="n"/>
      <c r="Z49" s="25" t="n"/>
      <c r="AA49" s="26" t="n"/>
      <c r="AB49" s="25" t="n"/>
      <c r="AC49" s="25" t="n"/>
      <c r="AD49" s="24" t="n"/>
      <c r="AE49" s="25" t="n"/>
      <c r="AF49" s="25" t="n"/>
      <c r="AG49" s="24" t="n"/>
      <c r="AH49" s="25" t="n"/>
      <c r="AI49" s="25" t="n"/>
      <c r="AJ49" s="24" t="n"/>
      <c r="AK49" s="25" t="n"/>
      <c r="AL49" s="25" t="n"/>
      <c r="AM49" s="24" t="n"/>
      <c r="AN49" s="25" t="n"/>
      <c r="AO49" s="25" t="n"/>
      <c r="AP49" s="24" t="n"/>
      <c r="AQ49" s="25" t="n"/>
      <c r="AR49" s="25" t="n"/>
      <c r="AS49" s="24" t="n"/>
      <c r="AT49" s="25" t="n"/>
      <c r="AU49" s="25" t="n"/>
      <c r="AV49" s="24" t="n"/>
      <c r="AW49" s="25" t="n"/>
      <c r="AX49" s="25" t="n"/>
      <c r="AY49" s="27" t="inlineStr">
        <is>
          <t>KG</t>
        </is>
      </c>
    </row>
    <row r="50" ht="18" customHeight="1">
      <c r="A50" s="61" t="inlineStr">
        <is>
          <t>MANDIBLE</t>
        </is>
      </c>
      <c r="B50" s="62" t="n"/>
      <c r="C50" s="63" t="n">
        <v>48</v>
      </c>
      <c r="D50" s="64" t="n"/>
      <c r="E50" s="64" t="n"/>
      <c r="F50" s="63" t="n">
        <v>47</v>
      </c>
      <c r="G50" s="64" t="n"/>
      <c r="H50" s="64" t="n"/>
      <c r="I50" s="63" t="n">
        <v>46</v>
      </c>
      <c r="J50" s="64" t="n"/>
      <c r="K50" s="64" t="n"/>
      <c r="L50" s="63" t="n">
        <v>45</v>
      </c>
      <c r="M50" s="64" t="n"/>
      <c r="N50" s="64" t="n"/>
      <c r="O50" s="63" t="n">
        <v>44</v>
      </c>
      <c r="P50" s="64" t="n"/>
      <c r="Q50" s="64" t="n"/>
      <c r="R50" s="63" t="n">
        <v>43</v>
      </c>
      <c r="S50" s="64" t="n"/>
      <c r="T50" s="64" t="n"/>
      <c r="U50" s="63" t="n">
        <v>42</v>
      </c>
      <c r="V50" s="64" t="n"/>
      <c r="W50" s="64" t="n"/>
      <c r="X50" s="63" t="n">
        <v>41</v>
      </c>
      <c r="Y50" s="64" t="n"/>
      <c r="Z50" s="64" t="n"/>
      <c r="AA50" s="65" t="n">
        <v>31</v>
      </c>
      <c r="AB50" s="64" t="n"/>
      <c r="AC50" s="64" t="n"/>
      <c r="AD50" s="63" t="n">
        <v>32</v>
      </c>
      <c r="AE50" s="64" t="n"/>
      <c r="AF50" s="64" t="n"/>
      <c r="AG50" s="63" t="n">
        <v>33</v>
      </c>
      <c r="AH50" s="64" t="n"/>
      <c r="AI50" s="64" t="n"/>
      <c r="AJ50" s="63" t="n">
        <v>34</v>
      </c>
      <c r="AK50" s="64" t="n"/>
      <c r="AL50" s="64" t="n"/>
      <c r="AM50" s="63" t="n">
        <v>35</v>
      </c>
      <c r="AN50" s="64" t="n"/>
      <c r="AO50" s="64" t="n"/>
      <c r="AP50" s="63" t="n">
        <v>36</v>
      </c>
      <c r="AQ50" s="64" t="n"/>
      <c r="AR50" s="64" t="n"/>
      <c r="AS50" s="63" t="n">
        <v>37</v>
      </c>
      <c r="AT50" s="64" t="n"/>
      <c r="AU50" s="64" t="n"/>
      <c r="AV50" s="63" t="n">
        <v>38</v>
      </c>
      <c r="AW50" s="64" t="n"/>
      <c r="AX50" s="64" t="n"/>
      <c r="AY50" s="66" t="n"/>
    </row>
    <row r="52" ht="20" customHeight="1">
      <c r="C52" s="9" t="inlineStr">
        <is>
          <t>MISSING TEETH AND IMPLANTS (not printed)  ·  X = missing, crosses the tooth out  ·  I = implant (to draw it, right-click the drawing &gt; Change Picture)</t>
        </is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</row>
    <row r="53" ht="18" customHeight="1">
      <c r="A53" s="67" t="inlineStr">
        <is>
          <t>MAXILLA</t>
        </is>
      </c>
      <c r="B53" s="68" t="n"/>
      <c r="C53" s="69" t="n">
        <v>18</v>
      </c>
      <c r="D53" s="70" t="n"/>
      <c r="E53" s="70" t="n"/>
      <c r="F53" s="69" t="n">
        <v>17</v>
      </c>
      <c r="G53" s="70" t="n"/>
      <c r="H53" s="70" t="n"/>
      <c r="I53" s="69" t="n">
        <v>16</v>
      </c>
      <c r="J53" s="70" t="n"/>
      <c r="K53" s="70" t="n"/>
      <c r="L53" s="69" t="n">
        <v>15</v>
      </c>
      <c r="M53" s="70" t="n"/>
      <c r="N53" s="70" t="n"/>
      <c r="O53" s="69" t="n">
        <v>14</v>
      </c>
      <c r="P53" s="70" t="n"/>
      <c r="Q53" s="70" t="n"/>
      <c r="R53" s="69" t="n">
        <v>13</v>
      </c>
      <c r="S53" s="70" t="n"/>
      <c r="T53" s="70" t="n"/>
      <c r="U53" s="69" t="n">
        <v>12</v>
      </c>
      <c r="V53" s="70" t="n"/>
      <c r="W53" s="70" t="n"/>
      <c r="X53" s="69" t="n">
        <v>11</v>
      </c>
      <c r="Y53" s="70" t="n"/>
      <c r="Z53" s="70" t="n"/>
      <c r="AA53" s="69" t="n">
        <v>21</v>
      </c>
      <c r="AB53" s="70" t="n"/>
      <c r="AC53" s="70" t="n"/>
      <c r="AD53" s="69" t="n">
        <v>22</v>
      </c>
      <c r="AE53" s="70" t="n"/>
      <c r="AF53" s="70" t="n"/>
      <c r="AG53" s="69" t="n">
        <v>23</v>
      </c>
      <c r="AH53" s="70" t="n"/>
      <c r="AI53" s="70" t="n"/>
      <c r="AJ53" s="69" t="n">
        <v>24</v>
      </c>
      <c r="AK53" s="70" t="n"/>
      <c r="AL53" s="70" t="n"/>
      <c r="AM53" s="69" t="n">
        <v>25</v>
      </c>
      <c r="AN53" s="70" t="n"/>
      <c r="AO53" s="70" t="n"/>
      <c r="AP53" s="69" t="n">
        <v>26</v>
      </c>
      <c r="AQ53" s="70" t="n"/>
      <c r="AR53" s="70" t="n"/>
      <c r="AS53" s="69" t="n">
        <v>27</v>
      </c>
      <c r="AT53" s="70" t="n"/>
      <c r="AU53" s="70" t="n"/>
      <c r="AV53" s="69" t="n">
        <v>28</v>
      </c>
      <c r="AW53" s="70" t="n"/>
      <c r="AX53" s="71" t="n"/>
    </row>
    <row r="54" ht="21" customHeight="1">
      <c r="A54" s="72" t="inlineStr">
        <is>
          <t>X / I</t>
        </is>
      </c>
      <c r="B54" s="73" t="n"/>
      <c r="C54" s="74" t="n"/>
      <c r="D54" s="75" t="n"/>
      <c r="E54" s="75" t="n"/>
      <c r="F54" s="74" t="n"/>
      <c r="G54" s="75" t="n"/>
      <c r="H54" s="75" t="n"/>
      <c r="I54" s="74" t="n"/>
      <c r="J54" s="75" t="n"/>
      <c r="K54" s="75" t="n"/>
      <c r="L54" s="74" t="n"/>
      <c r="M54" s="75" t="n"/>
      <c r="N54" s="75" t="n"/>
      <c r="O54" s="74" t="n"/>
      <c r="P54" s="75" t="n"/>
      <c r="Q54" s="75" t="n"/>
      <c r="R54" s="74" t="n"/>
      <c r="S54" s="75" t="n"/>
      <c r="T54" s="75" t="n"/>
      <c r="U54" s="74" t="n"/>
      <c r="V54" s="75" t="n"/>
      <c r="W54" s="75" t="n"/>
      <c r="X54" s="74" t="n"/>
      <c r="Y54" s="75" t="n"/>
      <c r="Z54" s="75" t="n"/>
      <c r="AA54" s="74" t="n"/>
      <c r="AB54" s="75" t="n"/>
      <c r="AC54" s="75" t="n"/>
      <c r="AD54" s="74" t="n"/>
      <c r="AE54" s="75" t="n"/>
      <c r="AF54" s="75" t="n"/>
      <c r="AG54" s="74" t="n"/>
      <c r="AH54" s="75" t="n"/>
      <c r="AI54" s="75" t="n"/>
      <c r="AJ54" s="74" t="n"/>
      <c r="AK54" s="75" t="n"/>
      <c r="AL54" s="75" t="n"/>
      <c r="AM54" s="74" t="n"/>
      <c r="AN54" s="75" t="n"/>
      <c r="AO54" s="75" t="n"/>
      <c r="AP54" s="74" t="n"/>
      <c r="AQ54" s="75" t="n"/>
      <c r="AR54" s="75" t="n"/>
      <c r="AS54" s="74" t="n"/>
      <c r="AT54" s="75" t="n"/>
      <c r="AU54" s="75" t="n"/>
      <c r="AV54" s="74" t="n"/>
      <c r="AW54" s="75" t="n"/>
      <c r="AX54" s="76" t="n"/>
    </row>
    <row r="55" ht="18" customHeight="1">
      <c r="A55" s="67" t="inlineStr">
        <is>
          <t>MANDIBLE</t>
        </is>
      </c>
      <c r="B55" s="68" t="n"/>
      <c r="C55" s="69" t="n">
        <v>48</v>
      </c>
      <c r="D55" s="70" t="n"/>
      <c r="E55" s="70" t="n"/>
      <c r="F55" s="69" t="n">
        <v>47</v>
      </c>
      <c r="G55" s="70" t="n"/>
      <c r="H55" s="70" t="n"/>
      <c r="I55" s="69" t="n">
        <v>46</v>
      </c>
      <c r="J55" s="70" t="n"/>
      <c r="K55" s="70" t="n"/>
      <c r="L55" s="69" t="n">
        <v>45</v>
      </c>
      <c r="M55" s="70" t="n"/>
      <c r="N55" s="70" t="n"/>
      <c r="O55" s="69" t="n">
        <v>44</v>
      </c>
      <c r="P55" s="70" t="n"/>
      <c r="Q55" s="70" t="n"/>
      <c r="R55" s="69" t="n">
        <v>43</v>
      </c>
      <c r="S55" s="70" t="n"/>
      <c r="T55" s="70" t="n"/>
      <c r="U55" s="69" t="n">
        <v>42</v>
      </c>
      <c r="V55" s="70" t="n"/>
      <c r="W55" s="70" t="n"/>
      <c r="X55" s="69" t="n">
        <v>41</v>
      </c>
      <c r="Y55" s="70" t="n"/>
      <c r="Z55" s="70" t="n"/>
      <c r="AA55" s="69" t="n">
        <v>31</v>
      </c>
      <c r="AB55" s="70" t="n"/>
      <c r="AC55" s="70" t="n"/>
      <c r="AD55" s="69" t="n">
        <v>32</v>
      </c>
      <c r="AE55" s="70" t="n"/>
      <c r="AF55" s="70" t="n"/>
      <c r="AG55" s="69" t="n">
        <v>33</v>
      </c>
      <c r="AH55" s="70" t="n"/>
      <c r="AI55" s="70" t="n"/>
      <c r="AJ55" s="69" t="n">
        <v>34</v>
      </c>
      <c r="AK55" s="70" t="n"/>
      <c r="AL55" s="70" t="n"/>
      <c r="AM55" s="69" t="n">
        <v>35</v>
      </c>
      <c r="AN55" s="70" t="n"/>
      <c r="AO55" s="70" t="n"/>
      <c r="AP55" s="69" t="n">
        <v>36</v>
      </c>
      <c r="AQ55" s="70" t="n"/>
      <c r="AR55" s="70" t="n"/>
      <c r="AS55" s="69" t="n">
        <v>37</v>
      </c>
      <c r="AT55" s="70" t="n"/>
      <c r="AU55" s="70" t="n"/>
      <c r="AV55" s="69" t="n">
        <v>38</v>
      </c>
      <c r="AW55" s="70" t="n"/>
      <c r="AX55" s="71" t="n"/>
    </row>
    <row r="56" ht="21" customHeight="1">
      <c r="A56" s="72" t="inlineStr">
        <is>
          <t>X / I</t>
        </is>
      </c>
      <c r="B56" s="73" t="n"/>
      <c r="C56" s="74" t="n"/>
      <c r="D56" s="75" t="n"/>
      <c r="E56" s="75" t="n"/>
      <c r="F56" s="74" t="n"/>
      <c r="G56" s="75" t="n"/>
      <c r="H56" s="75" t="n"/>
      <c r="I56" s="74" t="n"/>
      <c r="J56" s="75" t="n"/>
      <c r="K56" s="75" t="n"/>
      <c r="L56" s="74" t="n"/>
      <c r="M56" s="75" t="n"/>
      <c r="N56" s="75" t="n"/>
      <c r="O56" s="74" t="n"/>
      <c r="P56" s="75" t="n"/>
      <c r="Q56" s="75" t="n"/>
      <c r="R56" s="74" t="n"/>
      <c r="S56" s="75" t="n"/>
      <c r="T56" s="75" t="n"/>
      <c r="U56" s="74" t="n"/>
      <c r="V56" s="75" t="n"/>
      <c r="W56" s="75" t="n"/>
      <c r="X56" s="74" t="n"/>
      <c r="Y56" s="75" t="n"/>
      <c r="Z56" s="75" t="n"/>
      <c r="AA56" s="74" t="n"/>
      <c r="AB56" s="75" t="n"/>
      <c r="AC56" s="75" t="n"/>
      <c r="AD56" s="74" t="n"/>
      <c r="AE56" s="75" t="n"/>
      <c r="AF56" s="75" t="n"/>
      <c r="AG56" s="74" t="n"/>
      <c r="AH56" s="75" t="n"/>
      <c r="AI56" s="75" t="n"/>
      <c r="AJ56" s="74" t="n"/>
      <c r="AK56" s="75" t="n"/>
      <c r="AL56" s="75" t="n"/>
      <c r="AM56" s="74" t="n"/>
      <c r="AN56" s="75" t="n"/>
      <c r="AO56" s="75" t="n"/>
      <c r="AP56" s="74" t="n"/>
      <c r="AQ56" s="75" t="n"/>
      <c r="AR56" s="75" t="n"/>
      <c r="AS56" s="74" t="n"/>
      <c r="AT56" s="75" t="n"/>
      <c r="AU56" s="75" t="n"/>
      <c r="AV56" s="74" t="n"/>
      <c r="AW56" s="75" t="n"/>
      <c r="AX56" s="76" t="n"/>
    </row>
  </sheetData>
  <mergeCells count="187">
    <mergeCell ref="I54:K54"/>
    <mergeCell ref="AD28:AF28"/>
    <mergeCell ref="C31:E31"/>
    <mergeCell ref="AP50:AR50"/>
    <mergeCell ref="C4:AX4"/>
    <mergeCell ref="O31:Q31"/>
    <mergeCell ref="I56:K56"/>
    <mergeCell ref="A32:A36"/>
    <mergeCell ref="A54:B54"/>
    <mergeCell ref="C3:I3"/>
    <mergeCell ref="AV28:AX28"/>
    <mergeCell ref="R3:W3"/>
    <mergeCell ref="F31:H31"/>
    <mergeCell ref="O56:Q56"/>
    <mergeCell ref="L9:N9"/>
    <mergeCell ref="AV9:AX9"/>
    <mergeCell ref="F9:H9"/>
    <mergeCell ref="AD53:AF53"/>
    <mergeCell ref="A56:B56"/>
    <mergeCell ref="AI1:AL1"/>
    <mergeCell ref="I50:K50"/>
    <mergeCell ref="D5:I5"/>
    <mergeCell ref="AD55:AF55"/>
    <mergeCell ref="X31:Z31"/>
    <mergeCell ref="U50:W50"/>
    <mergeCell ref="AO3:AU3"/>
    <mergeCell ref="AD9:AF9"/>
    <mergeCell ref="AJ31:AL31"/>
    <mergeCell ref="AH3:AJ3"/>
    <mergeCell ref="A53:B53"/>
    <mergeCell ref="AB5:AG5"/>
    <mergeCell ref="AH5:AJ5"/>
    <mergeCell ref="AS50:AU50"/>
    <mergeCell ref="O9:Q9"/>
    <mergeCell ref="A28:B28"/>
    <mergeCell ref="AN5:AS5"/>
    <mergeCell ref="AG9:AI9"/>
    <mergeCell ref="A10:A15"/>
    <mergeCell ref="D6:I6"/>
    <mergeCell ref="A9:B9"/>
    <mergeCell ref="AS9:AU9"/>
    <mergeCell ref="P6:U6"/>
    <mergeCell ref="I28:K28"/>
    <mergeCell ref="AM9:AO9"/>
    <mergeCell ref="F50:H50"/>
    <mergeCell ref="AG53:AI53"/>
    <mergeCell ref="D7:I7"/>
    <mergeCell ref="O50:Q50"/>
    <mergeCell ref="J7:L7"/>
    <mergeCell ref="AS2:AX2"/>
    <mergeCell ref="P7:U7"/>
    <mergeCell ref="L50:N50"/>
    <mergeCell ref="AS28:AU28"/>
    <mergeCell ref="AA31:AC31"/>
    <mergeCell ref="AM31:AO31"/>
    <mergeCell ref="AN1:AR1"/>
    <mergeCell ref="X50:Z50"/>
    <mergeCell ref="R53:T53"/>
    <mergeCell ref="U54:W54"/>
    <mergeCell ref="U55:W55"/>
    <mergeCell ref="AM55:AO55"/>
    <mergeCell ref="AN7:AS7"/>
    <mergeCell ref="AD50:AF50"/>
    <mergeCell ref="AS53:AU53"/>
    <mergeCell ref="X9:Z9"/>
    <mergeCell ref="R9:T9"/>
    <mergeCell ref="AP53:AR53"/>
    <mergeCell ref="AJ9:AL9"/>
    <mergeCell ref="AP28:AR28"/>
    <mergeCell ref="AS55:AU55"/>
    <mergeCell ref="AJ50:AL50"/>
    <mergeCell ref="J5:L5"/>
    <mergeCell ref="AG54:AI54"/>
    <mergeCell ref="AT6:AV6"/>
    <mergeCell ref="AV50:AX50"/>
    <mergeCell ref="V5:X5"/>
    <mergeCell ref="AS54:AU54"/>
    <mergeCell ref="L28:N28"/>
    <mergeCell ref="AG50:AI50"/>
    <mergeCell ref="AP9:AR9"/>
    <mergeCell ref="AV3:AX3"/>
    <mergeCell ref="AG56:AI56"/>
    <mergeCell ref="AP54:AR54"/>
    <mergeCell ref="AV55:AX55"/>
    <mergeCell ref="R31:T31"/>
    <mergeCell ref="F55:H55"/>
    <mergeCell ref="AE1:AH1"/>
    <mergeCell ref="AP55:AR55"/>
    <mergeCell ref="AS56:AU56"/>
    <mergeCell ref="J6:L6"/>
    <mergeCell ref="C50:E50"/>
    <mergeCell ref="AE2:AG2"/>
    <mergeCell ref="AT5:AV5"/>
    <mergeCell ref="C55:E55"/>
    <mergeCell ref="X53:Z53"/>
    <mergeCell ref="I53:K53"/>
    <mergeCell ref="C1:Z1"/>
    <mergeCell ref="C9:E9"/>
    <mergeCell ref="AA53:AC53"/>
    <mergeCell ref="AH2:AN2"/>
    <mergeCell ref="AP31:AR31"/>
    <mergeCell ref="L55:N55"/>
    <mergeCell ref="U53:W53"/>
    <mergeCell ref="AH6:AJ6"/>
    <mergeCell ref="C2:E2"/>
    <mergeCell ref="R54:T54"/>
    <mergeCell ref="X55:Z55"/>
    <mergeCell ref="I55:K55"/>
    <mergeCell ref="U28:W28"/>
    <mergeCell ref="L54:N54"/>
    <mergeCell ref="AV53:AX53"/>
    <mergeCell ref="AD54:AF54"/>
    <mergeCell ref="R50:T50"/>
    <mergeCell ref="AG28:AI28"/>
    <mergeCell ref="AO2:AR2"/>
    <mergeCell ref="R56:T56"/>
    <mergeCell ref="AA50:AC50"/>
    <mergeCell ref="V7:X7"/>
    <mergeCell ref="L56:N56"/>
    <mergeCell ref="A55:B55"/>
    <mergeCell ref="AA55:AC55"/>
    <mergeCell ref="AB7:AG7"/>
    <mergeCell ref="AM50:AO50"/>
    <mergeCell ref="AH7:AJ7"/>
    <mergeCell ref="AJ54:AL54"/>
    <mergeCell ref="C28:E28"/>
    <mergeCell ref="C52:AX52"/>
    <mergeCell ref="AV54:AX54"/>
    <mergeCell ref="I31:K31"/>
    <mergeCell ref="K3:P3"/>
    <mergeCell ref="F53:H53"/>
    <mergeCell ref="AG55:AI55"/>
    <mergeCell ref="AJ56:AL56"/>
    <mergeCell ref="U31:W31"/>
    <mergeCell ref="Y3:AD3"/>
    <mergeCell ref="O53:Q53"/>
    <mergeCell ref="R28:T28"/>
    <mergeCell ref="L53:N53"/>
    <mergeCell ref="AS31:AU31"/>
    <mergeCell ref="AM56:AO56"/>
    <mergeCell ref="A44:A49"/>
    <mergeCell ref="C54:E54"/>
    <mergeCell ref="X28:Z28"/>
    <mergeCell ref="O54:Q54"/>
    <mergeCell ref="AJ28:AL28"/>
    <mergeCell ref="AD31:AF31"/>
    <mergeCell ref="C56:E56"/>
    <mergeCell ref="R55:T55"/>
    <mergeCell ref="U56:W56"/>
    <mergeCell ref="A23:A27"/>
    <mergeCell ref="F2:T2"/>
    <mergeCell ref="V6:X6"/>
    <mergeCell ref="AA54:AC54"/>
    <mergeCell ref="O55:Q55"/>
    <mergeCell ref="AJ53:AL53"/>
    <mergeCell ref="U2:V2"/>
    <mergeCell ref="AM54:AO54"/>
    <mergeCell ref="F28:H28"/>
    <mergeCell ref="AA56:AC56"/>
    <mergeCell ref="L31:N31"/>
    <mergeCell ref="F56:H56"/>
    <mergeCell ref="AJ55:AL55"/>
    <mergeCell ref="AS1:AV1"/>
    <mergeCell ref="A50:B50"/>
    <mergeCell ref="X54:Z54"/>
    <mergeCell ref="C53:E53"/>
    <mergeCell ref="P5:U5"/>
    <mergeCell ref="I9:K9"/>
    <mergeCell ref="AD56:AF56"/>
    <mergeCell ref="X56:Z56"/>
    <mergeCell ref="U9:W9"/>
    <mergeCell ref="AV31:AX31"/>
    <mergeCell ref="AP56:AR56"/>
    <mergeCell ref="AB6:AG6"/>
    <mergeCell ref="AT7:AV7"/>
    <mergeCell ref="AM53:AO53"/>
    <mergeCell ref="F54:H54"/>
    <mergeCell ref="O28:Q28"/>
    <mergeCell ref="AN6:AS6"/>
    <mergeCell ref="AA28:AC28"/>
    <mergeCell ref="W2:AD2"/>
    <mergeCell ref="AA9:AC9"/>
    <mergeCell ref="AM28:AO28"/>
    <mergeCell ref="AV56:AX56"/>
    <mergeCell ref="AG31:AI31"/>
    <mergeCell ref="AE3:AG3"/>
    <mergeCell ref="A31:B31"/>
  </mergeCells>
  <conditionalFormatting sqref="C10:E27">
    <cfRule type="expression" priority="1" dxfId="0" stopIfTrue="1">
      <formula>$C$54="X"</formula>
    </cfRule>
  </conditionalFormatting>
  <conditionalFormatting sqref="C9:E9 C28:E28">
    <cfRule type="expression" priority="2" dxfId="1" stopIfTrue="1">
      <formula>$C$54="X"</formula>
    </cfRule>
    <cfRule type="expression" priority="3" dxfId="2" stopIfTrue="1">
      <formula>$C$54="I"</formula>
    </cfRule>
  </conditionalFormatting>
  <conditionalFormatting sqref="F10:H27">
    <cfRule type="expression" priority="4" dxfId="0" stopIfTrue="1">
      <formula>$F$54="X"</formula>
    </cfRule>
  </conditionalFormatting>
  <conditionalFormatting sqref="F9:H9 F28:H28">
    <cfRule type="expression" priority="5" dxfId="1" stopIfTrue="1">
      <formula>$F$54="X"</formula>
    </cfRule>
    <cfRule type="expression" priority="6" dxfId="2" stopIfTrue="1">
      <formula>$F$54="I"</formula>
    </cfRule>
  </conditionalFormatting>
  <conditionalFormatting sqref="I10:K27">
    <cfRule type="expression" priority="7" dxfId="0" stopIfTrue="1">
      <formula>$I$54="X"</formula>
    </cfRule>
  </conditionalFormatting>
  <conditionalFormatting sqref="I9:K9 I28:K28">
    <cfRule type="expression" priority="8" dxfId="1" stopIfTrue="1">
      <formula>$I$54="X"</formula>
    </cfRule>
    <cfRule type="expression" priority="9" dxfId="2" stopIfTrue="1">
      <formula>$I$54="I"</formula>
    </cfRule>
  </conditionalFormatting>
  <conditionalFormatting sqref="L10:N27">
    <cfRule type="expression" priority="10" dxfId="0" stopIfTrue="1">
      <formula>$L$54="X"</formula>
    </cfRule>
  </conditionalFormatting>
  <conditionalFormatting sqref="L9:N9 L28:N28">
    <cfRule type="expression" priority="11" dxfId="1" stopIfTrue="1">
      <formula>$L$54="X"</formula>
    </cfRule>
    <cfRule type="expression" priority="12" dxfId="2" stopIfTrue="1">
      <formula>$L$54="I"</formula>
    </cfRule>
  </conditionalFormatting>
  <conditionalFormatting sqref="O10:Q27">
    <cfRule type="expression" priority="13" dxfId="0" stopIfTrue="1">
      <formula>$O$54="X"</formula>
    </cfRule>
  </conditionalFormatting>
  <conditionalFormatting sqref="O9:Q9 O28:Q28">
    <cfRule type="expression" priority="14" dxfId="1" stopIfTrue="1">
      <formula>$O$54="X"</formula>
    </cfRule>
    <cfRule type="expression" priority="15" dxfId="2" stopIfTrue="1">
      <formula>$O$54="I"</formula>
    </cfRule>
  </conditionalFormatting>
  <conditionalFormatting sqref="R10:T27">
    <cfRule type="expression" priority="16" dxfId="0" stopIfTrue="1">
      <formula>$R$54="X"</formula>
    </cfRule>
  </conditionalFormatting>
  <conditionalFormatting sqref="R9:T9 R28:T28">
    <cfRule type="expression" priority="17" dxfId="1" stopIfTrue="1">
      <formula>$R$54="X"</formula>
    </cfRule>
    <cfRule type="expression" priority="18" dxfId="2" stopIfTrue="1">
      <formula>$R$54="I"</formula>
    </cfRule>
  </conditionalFormatting>
  <conditionalFormatting sqref="U10:W27">
    <cfRule type="expression" priority="19" dxfId="0" stopIfTrue="1">
      <formula>$U$54="X"</formula>
    </cfRule>
  </conditionalFormatting>
  <conditionalFormatting sqref="U9:W9 U28:W28">
    <cfRule type="expression" priority="20" dxfId="1" stopIfTrue="1">
      <formula>$U$54="X"</formula>
    </cfRule>
    <cfRule type="expression" priority="21" dxfId="2" stopIfTrue="1">
      <formula>$U$54="I"</formula>
    </cfRule>
  </conditionalFormatting>
  <conditionalFormatting sqref="X10:Z27">
    <cfRule type="expression" priority="22" dxfId="0" stopIfTrue="1">
      <formula>$X$54="X"</formula>
    </cfRule>
  </conditionalFormatting>
  <conditionalFormatting sqref="X9:Z9 X28:Z28">
    <cfRule type="expression" priority="23" dxfId="1" stopIfTrue="1">
      <formula>$X$54="X"</formula>
    </cfRule>
    <cfRule type="expression" priority="24" dxfId="2" stopIfTrue="1">
      <formula>$X$54="I"</formula>
    </cfRule>
  </conditionalFormatting>
  <conditionalFormatting sqref="AA10:AC27">
    <cfRule type="expression" priority="25" dxfId="0" stopIfTrue="1">
      <formula>$AA$54="X"</formula>
    </cfRule>
  </conditionalFormatting>
  <conditionalFormatting sqref="AA9:AC9 AA28:AC28">
    <cfRule type="expression" priority="26" dxfId="1" stopIfTrue="1">
      <formula>$AA$54="X"</formula>
    </cfRule>
    <cfRule type="expression" priority="27" dxfId="2" stopIfTrue="1">
      <formula>$AA$54="I"</formula>
    </cfRule>
  </conditionalFormatting>
  <conditionalFormatting sqref="AD10:AF27">
    <cfRule type="expression" priority="28" dxfId="0" stopIfTrue="1">
      <formula>$AD$54="X"</formula>
    </cfRule>
  </conditionalFormatting>
  <conditionalFormatting sqref="AD9:AF9 AD28:AF28">
    <cfRule type="expression" priority="29" dxfId="1" stopIfTrue="1">
      <formula>$AD$54="X"</formula>
    </cfRule>
    <cfRule type="expression" priority="30" dxfId="2" stopIfTrue="1">
      <formula>$AD$54="I"</formula>
    </cfRule>
  </conditionalFormatting>
  <conditionalFormatting sqref="AG10:AI27">
    <cfRule type="expression" priority="31" dxfId="0" stopIfTrue="1">
      <formula>$AG$54="X"</formula>
    </cfRule>
  </conditionalFormatting>
  <conditionalFormatting sqref="AG9:AI9 AG28:AI28">
    <cfRule type="expression" priority="32" dxfId="1" stopIfTrue="1">
      <formula>$AG$54="X"</formula>
    </cfRule>
    <cfRule type="expression" priority="33" dxfId="2" stopIfTrue="1">
      <formula>$AG$54="I"</formula>
    </cfRule>
  </conditionalFormatting>
  <conditionalFormatting sqref="AJ10:AL27">
    <cfRule type="expression" priority="34" dxfId="0" stopIfTrue="1">
      <formula>$AJ$54="X"</formula>
    </cfRule>
  </conditionalFormatting>
  <conditionalFormatting sqref="AJ9:AL9 AJ28:AL28">
    <cfRule type="expression" priority="35" dxfId="1" stopIfTrue="1">
      <formula>$AJ$54="X"</formula>
    </cfRule>
    <cfRule type="expression" priority="36" dxfId="2" stopIfTrue="1">
      <formula>$AJ$54="I"</formula>
    </cfRule>
  </conditionalFormatting>
  <conditionalFormatting sqref="AM10:AO27">
    <cfRule type="expression" priority="37" dxfId="0" stopIfTrue="1">
      <formula>$AM$54="X"</formula>
    </cfRule>
  </conditionalFormatting>
  <conditionalFormatting sqref="AM9:AO9 AM28:AO28">
    <cfRule type="expression" priority="38" dxfId="1" stopIfTrue="1">
      <formula>$AM$54="X"</formula>
    </cfRule>
    <cfRule type="expression" priority="39" dxfId="2" stopIfTrue="1">
      <formula>$AM$54="I"</formula>
    </cfRule>
  </conditionalFormatting>
  <conditionalFormatting sqref="AP10:AR27">
    <cfRule type="expression" priority="40" dxfId="0" stopIfTrue="1">
      <formula>$AP$54="X"</formula>
    </cfRule>
  </conditionalFormatting>
  <conditionalFormatting sqref="AP9:AR9 AP28:AR28">
    <cfRule type="expression" priority="41" dxfId="1" stopIfTrue="1">
      <formula>$AP$54="X"</formula>
    </cfRule>
    <cfRule type="expression" priority="42" dxfId="2" stopIfTrue="1">
      <formula>$AP$54="I"</formula>
    </cfRule>
  </conditionalFormatting>
  <conditionalFormatting sqref="AS10:AU27">
    <cfRule type="expression" priority="43" dxfId="0" stopIfTrue="1">
      <formula>$AS$54="X"</formula>
    </cfRule>
  </conditionalFormatting>
  <conditionalFormatting sqref="AS9:AU9 AS28:AU28">
    <cfRule type="expression" priority="44" dxfId="1" stopIfTrue="1">
      <formula>$AS$54="X"</formula>
    </cfRule>
    <cfRule type="expression" priority="45" dxfId="2" stopIfTrue="1">
      <formula>$AS$54="I"</formula>
    </cfRule>
  </conditionalFormatting>
  <conditionalFormatting sqref="AV10:AX27">
    <cfRule type="expression" priority="46" dxfId="0" stopIfTrue="1">
      <formula>$AV$54="X"</formula>
    </cfRule>
  </conditionalFormatting>
  <conditionalFormatting sqref="AV9:AX9 AV28:AX28">
    <cfRule type="expression" priority="47" dxfId="1" stopIfTrue="1">
      <formula>$AV$54="X"</formula>
    </cfRule>
    <cfRule type="expression" priority="48" dxfId="2" stopIfTrue="1">
      <formula>$AV$54="I"</formula>
    </cfRule>
  </conditionalFormatting>
  <conditionalFormatting sqref="C32:E49">
    <cfRule type="expression" priority="49" dxfId="0" stopIfTrue="1">
      <formula>$C$56="X"</formula>
    </cfRule>
  </conditionalFormatting>
  <conditionalFormatting sqref="C31:E31 C50:E50">
    <cfRule type="expression" priority="50" dxfId="1" stopIfTrue="1">
      <formula>$C$56="X"</formula>
    </cfRule>
    <cfRule type="expression" priority="51" dxfId="2" stopIfTrue="1">
      <formula>$C$56="I"</formula>
    </cfRule>
  </conditionalFormatting>
  <conditionalFormatting sqref="F32:H49">
    <cfRule type="expression" priority="52" dxfId="0" stopIfTrue="1">
      <formula>$F$56="X"</formula>
    </cfRule>
  </conditionalFormatting>
  <conditionalFormatting sqref="F31:H31 F50:H50">
    <cfRule type="expression" priority="53" dxfId="1" stopIfTrue="1">
      <formula>$F$56="X"</formula>
    </cfRule>
    <cfRule type="expression" priority="54" dxfId="2" stopIfTrue="1">
      <formula>$F$56="I"</formula>
    </cfRule>
  </conditionalFormatting>
  <conditionalFormatting sqref="I32:K49">
    <cfRule type="expression" priority="55" dxfId="0" stopIfTrue="1">
      <formula>$I$56="X"</formula>
    </cfRule>
  </conditionalFormatting>
  <conditionalFormatting sqref="I31:K31 I50:K50">
    <cfRule type="expression" priority="56" dxfId="1" stopIfTrue="1">
      <formula>$I$56="X"</formula>
    </cfRule>
    <cfRule type="expression" priority="57" dxfId="2" stopIfTrue="1">
      <formula>$I$56="I"</formula>
    </cfRule>
  </conditionalFormatting>
  <conditionalFormatting sqref="L32:N49">
    <cfRule type="expression" priority="58" dxfId="0" stopIfTrue="1">
      <formula>$L$56="X"</formula>
    </cfRule>
  </conditionalFormatting>
  <conditionalFormatting sqref="L31:N31 L50:N50">
    <cfRule type="expression" priority="59" dxfId="1" stopIfTrue="1">
      <formula>$L$56="X"</formula>
    </cfRule>
    <cfRule type="expression" priority="60" dxfId="2" stopIfTrue="1">
      <formula>$L$56="I"</formula>
    </cfRule>
  </conditionalFormatting>
  <conditionalFormatting sqref="O32:Q49">
    <cfRule type="expression" priority="61" dxfId="0" stopIfTrue="1">
      <formula>$O$56="X"</formula>
    </cfRule>
  </conditionalFormatting>
  <conditionalFormatting sqref="O31:Q31 O50:Q50">
    <cfRule type="expression" priority="62" dxfId="1" stopIfTrue="1">
      <formula>$O$56="X"</formula>
    </cfRule>
    <cfRule type="expression" priority="63" dxfId="2" stopIfTrue="1">
      <formula>$O$56="I"</formula>
    </cfRule>
  </conditionalFormatting>
  <conditionalFormatting sqref="R32:T49">
    <cfRule type="expression" priority="64" dxfId="0" stopIfTrue="1">
      <formula>$R$56="X"</formula>
    </cfRule>
  </conditionalFormatting>
  <conditionalFormatting sqref="R31:T31 R50:T50">
    <cfRule type="expression" priority="65" dxfId="1" stopIfTrue="1">
      <formula>$R$56="X"</formula>
    </cfRule>
    <cfRule type="expression" priority="66" dxfId="2" stopIfTrue="1">
      <formula>$R$56="I"</formula>
    </cfRule>
  </conditionalFormatting>
  <conditionalFormatting sqref="U32:W49">
    <cfRule type="expression" priority="67" dxfId="0" stopIfTrue="1">
      <formula>$U$56="X"</formula>
    </cfRule>
  </conditionalFormatting>
  <conditionalFormatting sqref="U31:W31 U50:W50">
    <cfRule type="expression" priority="68" dxfId="1" stopIfTrue="1">
      <formula>$U$56="X"</formula>
    </cfRule>
    <cfRule type="expression" priority="69" dxfId="2" stopIfTrue="1">
      <formula>$U$56="I"</formula>
    </cfRule>
  </conditionalFormatting>
  <conditionalFormatting sqref="X32:Z49">
    <cfRule type="expression" priority="70" dxfId="0" stopIfTrue="1">
      <formula>$X$56="X"</formula>
    </cfRule>
  </conditionalFormatting>
  <conditionalFormatting sqref="X31:Z31 X50:Z50">
    <cfRule type="expression" priority="71" dxfId="1" stopIfTrue="1">
      <formula>$X$56="X"</formula>
    </cfRule>
    <cfRule type="expression" priority="72" dxfId="2" stopIfTrue="1">
      <formula>$X$56="I"</formula>
    </cfRule>
  </conditionalFormatting>
  <conditionalFormatting sqref="AA32:AC49">
    <cfRule type="expression" priority="73" dxfId="0" stopIfTrue="1">
      <formula>$AA$56="X"</formula>
    </cfRule>
  </conditionalFormatting>
  <conditionalFormatting sqref="AA31:AC31 AA50:AC50">
    <cfRule type="expression" priority="74" dxfId="1" stopIfTrue="1">
      <formula>$AA$56="X"</formula>
    </cfRule>
    <cfRule type="expression" priority="75" dxfId="2" stopIfTrue="1">
      <formula>$AA$56="I"</formula>
    </cfRule>
  </conditionalFormatting>
  <conditionalFormatting sqref="AD32:AF49">
    <cfRule type="expression" priority="76" dxfId="0" stopIfTrue="1">
      <formula>$AD$56="X"</formula>
    </cfRule>
  </conditionalFormatting>
  <conditionalFormatting sqref="AD31:AF31 AD50:AF50">
    <cfRule type="expression" priority="77" dxfId="1" stopIfTrue="1">
      <formula>$AD$56="X"</formula>
    </cfRule>
    <cfRule type="expression" priority="78" dxfId="2" stopIfTrue="1">
      <formula>$AD$56="I"</formula>
    </cfRule>
  </conditionalFormatting>
  <conditionalFormatting sqref="AG32:AI49">
    <cfRule type="expression" priority="79" dxfId="0" stopIfTrue="1">
      <formula>$AG$56="X"</formula>
    </cfRule>
  </conditionalFormatting>
  <conditionalFormatting sqref="AG31:AI31 AG50:AI50">
    <cfRule type="expression" priority="80" dxfId="1" stopIfTrue="1">
      <formula>$AG$56="X"</formula>
    </cfRule>
    <cfRule type="expression" priority="81" dxfId="2" stopIfTrue="1">
      <formula>$AG$56="I"</formula>
    </cfRule>
  </conditionalFormatting>
  <conditionalFormatting sqref="AJ32:AL49">
    <cfRule type="expression" priority="82" dxfId="0" stopIfTrue="1">
      <formula>$AJ$56="X"</formula>
    </cfRule>
  </conditionalFormatting>
  <conditionalFormatting sqref="AJ31:AL31 AJ50:AL50">
    <cfRule type="expression" priority="83" dxfId="1" stopIfTrue="1">
      <formula>$AJ$56="X"</formula>
    </cfRule>
    <cfRule type="expression" priority="84" dxfId="2" stopIfTrue="1">
      <formula>$AJ$56="I"</formula>
    </cfRule>
  </conditionalFormatting>
  <conditionalFormatting sqref="AM32:AO49">
    <cfRule type="expression" priority="85" dxfId="0" stopIfTrue="1">
      <formula>$AM$56="X"</formula>
    </cfRule>
  </conditionalFormatting>
  <conditionalFormatting sqref="AM31:AO31 AM50:AO50">
    <cfRule type="expression" priority="86" dxfId="1" stopIfTrue="1">
      <formula>$AM$56="X"</formula>
    </cfRule>
    <cfRule type="expression" priority="87" dxfId="2" stopIfTrue="1">
      <formula>$AM$56="I"</formula>
    </cfRule>
  </conditionalFormatting>
  <conditionalFormatting sqref="AP32:AR49">
    <cfRule type="expression" priority="88" dxfId="0" stopIfTrue="1">
      <formula>$AP$56="X"</formula>
    </cfRule>
  </conditionalFormatting>
  <conditionalFormatting sqref="AP31:AR31 AP50:AR50">
    <cfRule type="expression" priority="89" dxfId="1" stopIfTrue="1">
      <formula>$AP$56="X"</formula>
    </cfRule>
    <cfRule type="expression" priority="90" dxfId="2" stopIfTrue="1">
      <formula>$AP$56="I"</formula>
    </cfRule>
  </conditionalFormatting>
  <conditionalFormatting sqref="AS32:AU49">
    <cfRule type="expression" priority="91" dxfId="0" stopIfTrue="1">
      <formula>$AS$56="X"</formula>
    </cfRule>
  </conditionalFormatting>
  <conditionalFormatting sqref="AS31:AU31 AS50:AU50">
    <cfRule type="expression" priority="92" dxfId="1" stopIfTrue="1">
      <formula>$AS$56="X"</formula>
    </cfRule>
    <cfRule type="expression" priority="93" dxfId="2" stopIfTrue="1">
      <formula>$AS$56="I"</formula>
    </cfRule>
  </conditionalFormatting>
  <conditionalFormatting sqref="AV32:AX49">
    <cfRule type="expression" priority="94" dxfId="0" stopIfTrue="1">
      <formula>$AV$56="X"</formula>
    </cfRule>
  </conditionalFormatting>
  <conditionalFormatting sqref="AV31:AX31 AV50:AX50">
    <cfRule type="expression" priority="95" dxfId="1" stopIfTrue="1">
      <formula>$AV$56="X"</formula>
    </cfRule>
    <cfRule type="expression" priority="96" dxfId="2" stopIfTrue="1">
      <formula>$AV$56="I"</formula>
    </cfRule>
  </conditionalFormatting>
  <conditionalFormatting sqref="C14:AX14 C24:AX24 C35:AX35 C45:AX45">
    <cfRule type="cellIs" priority="97" operator="greaterThanOrEqual" dxfId="3">
      <formula>6</formula>
    </cfRule>
    <cfRule type="cellIs" priority="98" operator="between" dxfId="4">
      <formula>4</formula>
      <formula>5</formula>
    </cfRule>
  </conditionalFormatting>
  <dataValidations count="6">
    <dataValidation sqref="C14:AX14 C24:AX24 C35:AX35 C45:AX45" showDropDown="0" showInputMessage="0" showErrorMessage="1" allowBlank="1" errorTitle="Probing depth" error="Enter PD in mm, 0 to 15." type="whole" errorStyle="stop" operator="between">
      <formula1>0</formula1>
      <formula2>15</formula2>
    </dataValidation>
    <dataValidation sqref="C13:AX13 C25:AX25 C34:AX34 C46:AX46" showDropDown="0" showInputMessage="0" showErrorMessage="1" allowBlank="1" errorTitle="CEJ-GM" error="Enter CEJ-GM in mm: + for recession, - when the margin is above the CEJ (-5 to 15)." type="whole" errorStyle="stop" operator="between">
      <formula1>-5</formula1>
      <formula2>15</formula2>
    </dataValidation>
    <dataValidation sqref="C10:AX10 C49:AX49" showDropDown="0" showInputMessage="0" showErrorMessage="1" allowBlank="1" errorTitle="Keratinized gingiva" error="Enter KG width in mm, 0 to 15." type="whole" errorStyle="stop" operator="between">
      <formula1>0</formula1>
      <formula2>15</formula2>
    </dataValidation>
    <dataValidation sqref="C12:AX12 C26:AX26 C33:AX33 C47:AX47" showDropDown="0" showInputMessage="0" showErrorMessage="1" allowBlank="1" errorTitle="Bleeding on probing" error="Use + (bleeding) or - (none)." type="list" errorStyle="stop">
      <formula1>"+,-"</formula1>
    </dataValidation>
    <dataValidation sqref="C11:AX11 C27:AX27 C32:AX32 C48:AX48" showDropDown="0" showInputMessage="0" showErrorMessage="1" allowBlank="1" errorTitle="Plaque" error="Use / for plaque." type="list" errorStyle="stop">
      <formula1>"/"</formula1>
    </dataValidation>
    <dataValidation sqref="C54:AX54 C56:AX56" showDropDown="0" showInputMessage="0" showErrorMessage="1" allowBlank="1" errorTitle="Missing tooth or implant" error="Type X under a missing tooth, I under an implant, or leave it empty." type="list">
      <formula1>"X,I"</formula1>
    </dataValidation>
  </dataValidations>
  <printOptions horizontalCentered="1"/>
  <pageMargins left="0.35" right="0.35" top="0.4" bottom="0.4" header="0.2" footer="0.2"/>
  <pageSetup orientation="portrait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E8E93"/>
    <outlinePr summaryBelow="1" summaryRight="1"/>
    <pageSetUpPr fitToPage="1"/>
  </sheetPr>
  <dimension ref="A1:AY56"/>
  <sheetViews>
    <sheetView showGridLines="0" zoomScale="100" workbookViewId="0">
      <selection activeCell="A1" sqref="A1"/>
    </sheetView>
  </sheetViews>
  <sheetFormatPr baseColWidth="8" defaultRowHeight="15"/>
  <cols>
    <col width="6.5" customWidth="1" min="1" max="1"/>
    <col width="8.5" customWidth="1" min="2" max="2"/>
    <col width="2.83" customWidth="1" min="3" max="3"/>
    <col width="2.83" customWidth="1" min="4" max="4"/>
    <col width="2.83" customWidth="1" min="5" max="5"/>
    <col width="2.83" customWidth="1" min="6" max="6"/>
    <col width="2.83" customWidth="1" min="7" max="7"/>
    <col width="2.83" customWidth="1" min="8" max="8"/>
    <col width="2.83" customWidth="1" min="9" max="9"/>
    <col width="2.83" customWidth="1" min="10" max="10"/>
    <col width="2.83" customWidth="1" min="11" max="11"/>
    <col width="2.83" customWidth="1" min="12" max="12"/>
    <col width="2.83" customWidth="1" min="13" max="13"/>
    <col width="2.83" customWidth="1" min="14" max="14"/>
    <col width="2.83" customWidth="1" min="15" max="15"/>
    <col width="2.83" customWidth="1" min="16" max="16"/>
    <col width="2.83" customWidth="1" min="17" max="17"/>
    <col width="2.83" customWidth="1" min="18" max="18"/>
    <col width="2.83" customWidth="1" min="19" max="19"/>
    <col width="2.83" customWidth="1" min="20" max="20"/>
    <col width="2.83" customWidth="1" min="21" max="21"/>
    <col width="2.83" customWidth="1" min="22" max="22"/>
    <col width="2.83" customWidth="1" min="23" max="23"/>
    <col width="2.83" customWidth="1" min="24" max="24"/>
    <col width="2.83" customWidth="1" min="25" max="25"/>
    <col width="2.83" customWidth="1" min="26" max="26"/>
    <col width="2.83" customWidth="1" min="27" max="27"/>
    <col width="2.83" customWidth="1" min="28" max="28"/>
    <col width="2.83" customWidth="1" min="29" max="29"/>
    <col width="2.83" customWidth="1" min="30" max="30"/>
    <col width="2.83" customWidth="1" min="31" max="31"/>
    <col width="2.83" customWidth="1" min="32" max="32"/>
    <col width="2.83" customWidth="1" min="33" max="33"/>
    <col width="2.83" customWidth="1" min="34" max="34"/>
    <col width="2.83" customWidth="1" min="35" max="35"/>
    <col width="2.83" customWidth="1" min="36" max="36"/>
    <col width="2.83" customWidth="1" min="37" max="37"/>
    <col width="2.83" customWidth="1" min="38" max="38"/>
    <col width="2.83" customWidth="1" min="39" max="39"/>
    <col width="2.83" customWidth="1" min="40" max="40"/>
    <col width="2.83" customWidth="1" min="41" max="41"/>
    <col width="2.83" customWidth="1" min="42" max="42"/>
    <col width="2.83" customWidth="1" min="43" max="43"/>
    <col width="2.83" customWidth="1" min="44" max="44"/>
    <col width="2.83" customWidth="1" min="45" max="45"/>
    <col width="2.83" customWidth="1" min="46" max="46"/>
    <col width="2.83" customWidth="1" min="47" max="47"/>
    <col width="2.83" customWidth="1" min="48" max="48"/>
    <col width="2.83" customWidth="1" min="49" max="49"/>
    <col width="2.83" customWidth="1" min="50" max="50"/>
    <col width="8.5" customWidth="1" min="51" max="51"/>
    <col width="3" customWidth="1" min="52" max="52"/>
  </cols>
  <sheetData>
    <row r="1" ht="30" customHeight="1">
      <c r="A1" s="1" t="n"/>
      <c r="B1" s="1" t="n"/>
      <c r="C1" s="2" t="inlineStr">
        <is>
          <t>PERIODONTAL CHART — CHANGE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77" t="inlineStr">
        <is>
          <t>Re-evaluation minus pre-treatment</t>
        </is>
      </c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77" t="n"/>
      <c r="AQ1" s="77" t="n"/>
      <c r="AR1" s="77" t="n"/>
      <c r="AS1" s="77" t="n"/>
      <c r="AT1" s="77" t="n"/>
      <c r="AU1" s="77" t="n"/>
      <c r="AV1" s="77" t="n"/>
      <c r="AW1" s="77" t="n"/>
      <c r="AX1" s="77" t="n"/>
      <c r="AY1" s="1" t="n"/>
    </row>
    <row r="2" ht="22" customHeight="1">
      <c r="A2" s="1" t="n"/>
      <c r="B2" s="1" t="n"/>
      <c r="C2" s="7" t="inlineStr">
        <is>
          <t>Patient</t>
        </is>
      </c>
      <c r="D2" s="7" t="n"/>
      <c r="E2" s="7" t="n"/>
      <c r="F2" s="8">
        <f>'Pre-Tx'!F2&amp;""</f>
        <v/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7" t="inlineStr">
        <is>
          <t>HN</t>
        </is>
      </c>
      <c r="V2" s="7" t="n"/>
      <c r="W2" s="8">
        <f>'Pre-Tx'!W2&amp;""</f>
        <v/>
      </c>
      <c r="X2" s="8" t="n"/>
      <c r="Y2" s="8" t="n"/>
      <c r="Z2" s="8" t="n"/>
      <c r="AA2" s="8" t="n"/>
      <c r="AB2" s="8" t="n"/>
      <c r="AC2" s="8" t="n"/>
      <c r="AD2" s="8" t="n"/>
      <c r="AE2" s="7" t="inlineStr">
        <is>
          <t>Date</t>
        </is>
      </c>
      <c r="AF2" s="7" t="n"/>
      <c r="AG2" s="7" t="n"/>
      <c r="AH2" s="8">
        <f>'Pre-Tx'!AH2&amp;""</f>
        <v/>
      </c>
      <c r="AI2" s="8" t="n"/>
      <c r="AJ2" s="8" t="n"/>
      <c r="AK2" s="8" t="n"/>
      <c r="AL2" s="8" t="n"/>
      <c r="AM2" s="8" t="n"/>
      <c r="AN2" s="8" t="n"/>
      <c r="AO2" s="7" t="inlineStr">
        <is>
          <t>Examiner</t>
        </is>
      </c>
      <c r="AP2" s="7" t="n"/>
      <c r="AQ2" s="7" t="n"/>
      <c r="AR2" s="7" t="n"/>
      <c r="AS2" s="8">
        <f>'Pre-Tx'!AS2&amp;""</f>
        <v/>
      </c>
      <c r="AT2" s="8" t="n"/>
      <c r="AU2" s="8" t="n"/>
      <c r="AV2" s="8" t="n"/>
      <c r="AW2" s="8" t="n"/>
      <c r="AX2" s="8" t="n"/>
      <c r="AY2" s="1" t="n"/>
    </row>
    <row r="3" ht="22" customHeight="1">
      <c r="A3" s="1" t="n"/>
      <c r="B3" s="1" t="n"/>
      <c r="C3" s="78" t="inlineStr">
        <is>
          <t>Green: improvement (PD or CAL reduced). Red: worse. Plaque and BOP rows show the re-evaluation marks.</t>
        </is>
      </c>
      <c r="D3" s="78" t="n"/>
      <c r="E3" s="78" t="n"/>
      <c r="F3" s="78" t="n"/>
      <c r="G3" s="78" t="n"/>
      <c r="H3" s="78" t="n"/>
      <c r="I3" s="78" t="n"/>
      <c r="J3" s="78" t="n"/>
      <c r="K3" s="78" t="n"/>
      <c r="L3" s="78" t="n"/>
      <c r="M3" s="78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8" t="n"/>
      <c r="Y3" s="78" t="n"/>
      <c r="Z3" s="78" t="n"/>
      <c r="AA3" s="78" t="n"/>
      <c r="AB3" s="78" t="n"/>
      <c r="AC3" s="78" t="n"/>
      <c r="AD3" s="78" t="n"/>
      <c r="AE3" s="78" t="n"/>
      <c r="AF3" s="78" t="n"/>
      <c r="AG3" s="78" t="n"/>
      <c r="AH3" s="78" t="n"/>
      <c r="AI3" s="78" t="n"/>
      <c r="AJ3" s="78" t="n"/>
      <c r="AK3" s="78" t="n"/>
      <c r="AL3" s="78" t="n"/>
      <c r="AM3" s="78" t="n"/>
      <c r="AN3" s="78" t="n"/>
      <c r="AO3" s="78" t="n"/>
      <c r="AP3" s="78" t="n"/>
      <c r="AQ3" s="78" t="n"/>
      <c r="AR3" s="78" t="n"/>
      <c r="AS3" s="78" t="n"/>
      <c r="AT3" s="78" t="n"/>
      <c r="AU3" s="78" t="n"/>
      <c r="AV3" s="78" t="n"/>
      <c r="AW3" s="78" t="n"/>
      <c r="AX3" s="78" t="n"/>
      <c r="AY3" s="1" t="n"/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</row>
    <row r="5" ht="19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</row>
    <row r="6" ht="19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</row>
    <row r="7" ht="19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</row>
    <row r="8" ht="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</row>
    <row r="9" ht="18" customHeight="1">
      <c r="A9" s="15" t="inlineStr">
        <is>
          <t>MAXILLA</t>
        </is>
      </c>
      <c r="B9" s="16" t="n"/>
      <c r="C9" s="17" t="n">
        <v>18</v>
      </c>
      <c r="D9" s="18" t="n"/>
      <c r="E9" s="18" t="n"/>
      <c r="F9" s="17" t="n">
        <v>17</v>
      </c>
      <c r="G9" s="18" t="n"/>
      <c r="H9" s="18" t="n"/>
      <c r="I9" s="17" t="n">
        <v>16</v>
      </c>
      <c r="J9" s="18" t="n"/>
      <c r="K9" s="18" t="n"/>
      <c r="L9" s="17" t="n">
        <v>15</v>
      </c>
      <c r="M9" s="18" t="n"/>
      <c r="N9" s="18" t="n"/>
      <c r="O9" s="17" t="n">
        <v>14</v>
      </c>
      <c r="P9" s="18" t="n"/>
      <c r="Q9" s="18" t="n"/>
      <c r="R9" s="17" t="n">
        <v>13</v>
      </c>
      <c r="S9" s="18" t="n"/>
      <c r="T9" s="18" t="n"/>
      <c r="U9" s="17" t="n">
        <v>12</v>
      </c>
      <c r="V9" s="18" t="n"/>
      <c r="W9" s="18" t="n"/>
      <c r="X9" s="17" t="n">
        <v>11</v>
      </c>
      <c r="Y9" s="18" t="n"/>
      <c r="Z9" s="18" t="n"/>
      <c r="AA9" s="19" t="n">
        <v>21</v>
      </c>
      <c r="AB9" s="18" t="n"/>
      <c r="AC9" s="18" t="n"/>
      <c r="AD9" s="17" t="n">
        <v>22</v>
      </c>
      <c r="AE9" s="18" t="n"/>
      <c r="AF9" s="18" t="n"/>
      <c r="AG9" s="17" t="n">
        <v>23</v>
      </c>
      <c r="AH9" s="18" t="n"/>
      <c r="AI9" s="18" t="n"/>
      <c r="AJ9" s="17" t="n">
        <v>24</v>
      </c>
      <c r="AK9" s="18" t="n"/>
      <c r="AL9" s="18" t="n"/>
      <c r="AM9" s="17" t="n">
        <v>25</v>
      </c>
      <c r="AN9" s="18" t="n"/>
      <c r="AO9" s="18" t="n"/>
      <c r="AP9" s="17" t="n">
        <v>26</v>
      </c>
      <c r="AQ9" s="18" t="n"/>
      <c r="AR9" s="18" t="n"/>
      <c r="AS9" s="17" t="n">
        <v>27</v>
      </c>
      <c r="AT9" s="18" t="n"/>
      <c r="AU9" s="18" t="n"/>
      <c r="AV9" s="17" t="n">
        <v>28</v>
      </c>
      <c r="AW9" s="18" t="n"/>
      <c r="AX9" s="18" t="n"/>
      <c r="AY9" s="20" t="n"/>
    </row>
    <row r="10" ht="21" customHeight="1">
      <c r="A10" s="22" t="inlineStr">
        <is>
          <t>BUCCAL</t>
        </is>
      </c>
      <c r="B10" s="23" t="inlineStr">
        <is>
          <t>KG</t>
        </is>
      </c>
      <c r="C10" s="79">
        <f>IF(OR(Eva!C10="",'Pre-Tx'!C10=""),"",Eva!C10-'Pre-Tx'!C10)</f>
        <v/>
      </c>
      <c r="D10" s="80">
        <f>IF(OR(Eva!D10="",'Pre-Tx'!D10=""),"",Eva!D10-'Pre-Tx'!D10)</f>
        <v/>
      </c>
      <c r="E10" s="80">
        <f>IF(OR(Eva!E10="",'Pre-Tx'!E10=""),"",Eva!E10-'Pre-Tx'!E10)</f>
        <v/>
      </c>
      <c r="F10" s="79">
        <f>IF(OR(Eva!F10="",'Pre-Tx'!F10=""),"",Eva!F10-'Pre-Tx'!F10)</f>
        <v/>
      </c>
      <c r="G10" s="80">
        <f>IF(OR(Eva!G10="",'Pre-Tx'!G10=""),"",Eva!G10-'Pre-Tx'!G10)</f>
        <v/>
      </c>
      <c r="H10" s="80">
        <f>IF(OR(Eva!H10="",'Pre-Tx'!H10=""),"",Eva!H10-'Pre-Tx'!H10)</f>
        <v/>
      </c>
      <c r="I10" s="79">
        <f>IF(OR(Eva!I10="",'Pre-Tx'!I10=""),"",Eva!I10-'Pre-Tx'!I10)</f>
        <v/>
      </c>
      <c r="J10" s="80">
        <f>IF(OR(Eva!J10="",'Pre-Tx'!J10=""),"",Eva!J10-'Pre-Tx'!J10)</f>
        <v/>
      </c>
      <c r="K10" s="80">
        <f>IF(OR(Eva!K10="",'Pre-Tx'!K10=""),"",Eva!K10-'Pre-Tx'!K10)</f>
        <v/>
      </c>
      <c r="L10" s="79">
        <f>IF(OR(Eva!L10="",'Pre-Tx'!L10=""),"",Eva!L10-'Pre-Tx'!L10)</f>
        <v/>
      </c>
      <c r="M10" s="80">
        <f>IF(OR(Eva!M10="",'Pre-Tx'!M10=""),"",Eva!M10-'Pre-Tx'!M10)</f>
        <v/>
      </c>
      <c r="N10" s="80">
        <f>IF(OR(Eva!N10="",'Pre-Tx'!N10=""),"",Eva!N10-'Pre-Tx'!N10)</f>
        <v/>
      </c>
      <c r="O10" s="79">
        <f>IF(OR(Eva!O10="",'Pre-Tx'!O10=""),"",Eva!O10-'Pre-Tx'!O10)</f>
        <v/>
      </c>
      <c r="P10" s="80">
        <f>IF(OR(Eva!P10="",'Pre-Tx'!P10=""),"",Eva!P10-'Pre-Tx'!P10)</f>
        <v/>
      </c>
      <c r="Q10" s="80">
        <f>IF(OR(Eva!Q10="",'Pre-Tx'!Q10=""),"",Eva!Q10-'Pre-Tx'!Q10)</f>
        <v/>
      </c>
      <c r="R10" s="79">
        <f>IF(OR(Eva!R10="",'Pre-Tx'!R10=""),"",Eva!R10-'Pre-Tx'!R10)</f>
        <v/>
      </c>
      <c r="S10" s="80">
        <f>IF(OR(Eva!S10="",'Pre-Tx'!S10=""),"",Eva!S10-'Pre-Tx'!S10)</f>
        <v/>
      </c>
      <c r="T10" s="80">
        <f>IF(OR(Eva!T10="",'Pre-Tx'!T10=""),"",Eva!T10-'Pre-Tx'!T10)</f>
        <v/>
      </c>
      <c r="U10" s="79">
        <f>IF(OR(Eva!U10="",'Pre-Tx'!U10=""),"",Eva!U10-'Pre-Tx'!U10)</f>
        <v/>
      </c>
      <c r="V10" s="80">
        <f>IF(OR(Eva!V10="",'Pre-Tx'!V10=""),"",Eva!V10-'Pre-Tx'!V10)</f>
        <v/>
      </c>
      <c r="W10" s="80">
        <f>IF(OR(Eva!W10="",'Pre-Tx'!W10=""),"",Eva!W10-'Pre-Tx'!W10)</f>
        <v/>
      </c>
      <c r="X10" s="79">
        <f>IF(OR(Eva!X10="",'Pre-Tx'!X10=""),"",Eva!X10-'Pre-Tx'!X10)</f>
        <v/>
      </c>
      <c r="Y10" s="80">
        <f>IF(OR(Eva!Y10="",'Pre-Tx'!Y10=""),"",Eva!Y10-'Pre-Tx'!Y10)</f>
        <v/>
      </c>
      <c r="Z10" s="80">
        <f>IF(OR(Eva!Z10="",'Pre-Tx'!Z10=""),"",Eva!Z10-'Pre-Tx'!Z10)</f>
        <v/>
      </c>
      <c r="AA10" s="81">
        <f>IF(OR(Eva!AA10="",'Pre-Tx'!AA10=""),"",Eva!AA10-'Pre-Tx'!AA10)</f>
        <v/>
      </c>
      <c r="AB10" s="80">
        <f>IF(OR(Eva!AB10="",'Pre-Tx'!AB10=""),"",Eva!AB10-'Pre-Tx'!AB10)</f>
        <v/>
      </c>
      <c r="AC10" s="80">
        <f>IF(OR(Eva!AC10="",'Pre-Tx'!AC10=""),"",Eva!AC10-'Pre-Tx'!AC10)</f>
        <v/>
      </c>
      <c r="AD10" s="79">
        <f>IF(OR(Eva!AD10="",'Pre-Tx'!AD10=""),"",Eva!AD10-'Pre-Tx'!AD10)</f>
        <v/>
      </c>
      <c r="AE10" s="80">
        <f>IF(OR(Eva!AE10="",'Pre-Tx'!AE10=""),"",Eva!AE10-'Pre-Tx'!AE10)</f>
        <v/>
      </c>
      <c r="AF10" s="80">
        <f>IF(OR(Eva!AF10="",'Pre-Tx'!AF10=""),"",Eva!AF10-'Pre-Tx'!AF10)</f>
        <v/>
      </c>
      <c r="AG10" s="79">
        <f>IF(OR(Eva!AG10="",'Pre-Tx'!AG10=""),"",Eva!AG10-'Pre-Tx'!AG10)</f>
        <v/>
      </c>
      <c r="AH10" s="80">
        <f>IF(OR(Eva!AH10="",'Pre-Tx'!AH10=""),"",Eva!AH10-'Pre-Tx'!AH10)</f>
        <v/>
      </c>
      <c r="AI10" s="80">
        <f>IF(OR(Eva!AI10="",'Pre-Tx'!AI10=""),"",Eva!AI10-'Pre-Tx'!AI10)</f>
        <v/>
      </c>
      <c r="AJ10" s="79">
        <f>IF(OR(Eva!AJ10="",'Pre-Tx'!AJ10=""),"",Eva!AJ10-'Pre-Tx'!AJ10)</f>
        <v/>
      </c>
      <c r="AK10" s="80">
        <f>IF(OR(Eva!AK10="",'Pre-Tx'!AK10=""),"",Eva!AK10-'Pre-Tx'!AK10)</f>
        <v/>
      </c>
      <c r="AL10" s="80">
        <f>IF(OR(Eva!AL10="",'Pre-Tx'!AL10=""),"",Eva!AL10-'Pre-Tx'!AL10)</f>
        <v/>
      </c>
      <c r="AM10" s="79">
        <f>IF(OR(Eva!AM10="",'Pre-Tx'!AM10=""),"",Eva!AM10-'Pre-Tx'!AM10)</f>
        <v/>
      </c>
      <c r="AN10" s="80">
        <f>IF(OR(Eva!AN10="",'Pre-Tx'!AN10=""),"",Eva!AN10-'Pre-Tx'!AN10)</f>
        <v/>
      </c>
      <c r="AO10" s="80">
        <f>IF(OR(Eva!AO10="",'Pre-Tx'!AO10=""),"",Eva!AO10-'Pre-Tx'!AO10)</f>
        <v/>
      </c>
      <c r="AP10" s="79">
        <f>IF(OR(Eva!AP10="",'Pre-Tx'!AP10=""),"",Eva!AP10-'Pre-Tx'!AP10)</f>
        <v/>
      </c>
      <c r="AQ10" s="80">
        <f>IF(OR(Eva!AQ10="",'Pre-Tx'!AQ10=""),"",Eva!AQ10-'Pre-Tx'!AQ10)</f>
        <v/>
      </c>
      <c r="AR10" s="80">
        <f>IF(OR(Eva!AR10="",'Pre-Tx'!AR10=""),"",Eva!AR10-'Pre-Tx'!AR10)</f>
        <v/>
      </c>
      <c r="AS10" s="79">
        <f>IF(OR(Eva!AS10="",'Pre-Tx'!AS10=""),"",Eva!AS10-'Pre-Tx'!AS10)</f>
        <v/>
      </c>
      <c r="AT10" s="80">
        <f>IF(OR(Eva!AT10="",'Pre-Tx'!AT10=""),"",Eva!AT10-'Pre-Tx'!AT10)</f>
        <v/>
      </c>
      <c r="AU10" s="80">
        <f>IF(OR(Eva!AU10="",'Pre-Tx'!AU10=""),"",Eva!AU10-'Pre-Tx'!AU10)</f>
        <v/>
      </c>
      <c r="AV10" s="79">
        <f>IF(OR(Eva!AV10="",'Pre-Tx'!AV10=""),"",Eva!AV10-'Pre-Tx'!AV10)</f>
        <v/>
      </c>
      <c r="AW10" s="80">
        <f>IF(OR(Eva!AW10="",'Pre-Tx'!AW10=""),"",Eva!AW10-'Pre-Tx'!AW10)</f>
        <v/>
      </c>
      <c r="AX10" s="80">
        <f>IF(OR(Eva!AX10="",'Pre-Tx'!AX10=""),"",Eva!AX10-'Pre-Tx'!AX10)</f>
        <v/>
      </c>
      <c r="AY10" s="27" t="inlineStr">
        <is>
          <t>KG</t>
        </is>
      </c>
    </row>
    <row r="11" ht="21" customHeight="1">
      <c r="A11" s="22" t="n"/>
      <c r="B11" s="23" t="inlineStr">
        <is>
          <t>PLAQUE</t>
        </is>
      </c>
      <c r="C11" s="24">
        <f>IF(Eva!C11="","",Eva!C11)</f>
        <v/>
      </c>
      <c r="D11" s="25">
        <f>IF(Eva!D11="","",Eva!D11)</f>
        <v/>
      </c>
      <c r="E11" s="25">
        <f>IF(Eva!E11="","",Eva!E11)</f>
        <v/>
      </c>
      <c r="F11" s="24">
        <f>IF(Eva!F11="","",Eva!F11)</f>
        <v/>
      </c>
      <c r="G11" s="25">
        <f>IF(Eva!G11="","",Eva!G11)</f>
        <v/>
      </c>
      <c r="H11" s="25">
        <f>IF(Eva!H11="","",Eva!H11)</f>
        <v/>
      </c>
      <c r="I11" s="24">
        <f>IF(Eva!I11="","",Eva!I11)</f>
        <v/>
      </c>
      <c r="J11" s="25">
        <f>IF(Eva!J11="","",Eva!J11)</f>
        <v/>
      </c>
      <c r="K11" s="25">
        <f>IF(Eva!K11="","",Eva!K11)</f>
        <v/>
      </c>
      <c r="L11" s="24">
        <f>IF(Eva!L11="","",Eva!L11)</f>
        <v/>
      </c>
      <c r="M11" s="25">
        <f>IF(Eva!M11="","",Eva!M11)</f>
        <v/>
      </c>
      <c r="N11" s="25">
        <f>IF(Eva!N11="","",Eva!N11)</f>
        <v/>
      </c>
      <c r="O11" s="24">
        <f>IF(Eva!O11="","",Eva!O11)</f>
        <v/>
      </c>
      <c r="P11" s="25">
        <f>IF(Eva!P11="","",Eva!P11)</f>
        <v/>
      </c>
      <c r="Q11" s="25">
        <f>IF(Eva!Q11="","",Eva!Q11)</f>
        <v/>
      </c>
      <c r="R11" s="24">
        <f>IF(Eva!R11="","",Eva!R11)</f>
        <v/>
      </c>
      <c r="S11" s="25">
        <f>IF(Eva!S11="","",Eva!S11)</f>
        <v/>
      </c>
      <c r="T11" s="25">
        <f>IF(Eva!T11="","",Eva!T11)</f>
        <v/>
      </c>
      <c r="U11" s="24">
        <f>IF(Eva!U11="","",Eva!U11)</f>
        <v/>
      </c>
      <c r="V11" s="25">
        <f>IF(Eva!V11="","",Eva!V11)</f>
        <v/>
      </c>
      <c r="W11" s="25">
        <f>IF(Eva!W11="","",Eva!W11)</f>
        <v/>
      </c>
      <c r="X11" s="24">
        <f>IF(Eva!X11="","",Eva!X11)</f>
        <v/>
      </c>
      <c r="Y11" s="25">
        <f>IF(Eva!Y11="","",Eva!Y11)</f>
        <v/>
      </c>
      <c r="Z11" s="25">
        <f>IF(Eva!Z11="","",Eva!Z11)</f>
        <v/>
      </c>
      <c r="AA11" s="26">
        <f>IF(Eva!AA11="","",Eva!AA11)</f>
        <v/>
      </c>
      <c r="AB11" s="25">
        <f>IF(Eva!AB11="","",Eva!AB11)</f>
        <v/>
      </c>
      <c r="AC11" s="25">
        <f>IF(Eva!AC11="","",Eva!AC11)</f>
        <v/>
      </c>
      <c r="AD11" s="24">
        <f>IF(Eva!AD11="","",Eva!AD11)</f>
        <v/>
      </c>
      <c r="AE11" s="25">
        <f>IF(Eva!AE11="","",Eva!AE11)</f>
        <v/>
      </c>
      <c r="AF11" s="25">
        <f>IF(Eva!AF11="","",Eva!AF11)</f>
        <v/>
      </c>
      <c r="AG11" s="24">
        <f>IF(Eva!AG11="","",Eva!AG11)</f>
        <v/>
      </c>
      <c r="AH11" s="25">
        <f>IF(Eva!AH11="","",Eva!AH11)</f>
        <v/>
      </c>
      <c r="AI11" s="25">
        <f>IF(Eva!AI11="","",Eva!AI11)</f>
        <v/>
      </c>
      <c r="AJ11" s="24">
        <f>IF(Eva!AJ11="","",Eva!AJ11)</f>
        <v/>
      </c>
      <c r="AK11" s="25">
        <f>IF(Eva!AK11="","",Eva!AK11)</f>
        <v/>
      </c>
      <c r="AL11" s="25">
        <f>IF(Eva!AL11="","",Eva!AL11)</f>
        <v/>
      </c>
      <c r="AM11" s="24">
        <f>IF(Eva!AM11="","",Eva!AM11)</f>
        <v/>
      </c>
      <c r="AN11" s="25">
        <f>IF(Eva!AN11="","",Eva!AN11)</f>
        <v/>
      </c>
      <c r="AO11" s="25">
        <f>IF(Eva!AO11="","",Eva!AO11)</f>
        <v/>
      </c>
      <c r="AP11" s="24">
        <f>IF(Eva!AP11="","",Eva!AP11)</f>
        <v/>
      </c>
      <c r="AQ11" s="25">
        <f>IF(Eva!AQ11="","",Eva!AQ11)</f>
        <v/>
      </c>
      <c r="AR11" s="25">
        <f>IF(Eva!AR11="","",Eva!AR11)</f>
        <v/>
      </c>
      <c r="AS11" s="24">
        <f>IF(Eva!AS11="","",Eva!AS11)</f>
        <v/>
      </c>
      <c r="AT11" s="25">
        <f>IF(Eva!AT11="","",Eva!AT11)</f>
        <v/>
      </c>
      <c r="AU11" s="25">
        <f>IF(Eva!AU11="","",Eva!AU11)</f>
        <v/>
      </c>
      <c r="AV11" s="24">
        <f>IF(Eva!AV11="","",Eva!AV11)</f>
        <v/>
      </c>
      <c r="AW11" s="25">
        <f>IF(Eva!AW11="","",Eva!AW11)</f>
        <v/>
      </c>
      <c r="AX11" s="25">
        <f>IF(Eva!AX11="","",Eva!AX11)</f>
        <v/>
      </c>
      <c r="AY11" s="27" t="inlineStr">
        <is>
          <t>PLAQUE</t>
        </is>
      </c>
    </row>
    <row r="12" ht="21" customHeight="1">
      <c r="A12" s="22" t="n"/>
      <c r="B12" s="23" t="inlineStr">
        <is>
          <t>BOP</t>
        </is>
      </c>
      <c r="C12" s="24">
        <f>IF(Eva!C12="","",Eva!C12)</f>
        <v/>
      </c>
      <c r="D12" s="25">
        <f>IF(Eva!D12="","",Eva!D12)</f>
        <v/>
      </c>
      <c r="E12" s="25">
        <f>IF(Eva!E12="","",Eva!E12)</f>
        <v/>
      </c>
      <c r="F12" s="24">
        <f>IF(Eva!F12="","",Eva!F12)</f>
        <v/>
      </c>
      <c r="G12" s="25">
        <f>IF(Eva!G12="","",Eva!G12)</f>
        <v/>
      </c>
      <c r="H12" s="25">
        <f>IF(Eva!H12="","",Eva!H12)</f>
        <v/>
      </c>
      <c r="I12" s="24">
        <f>IF(Eva!I12="","",Eva!I12)</f>
        <v/>
      </c>
      <c r="J12" s="25">
        <f>IF(Eva!J12="","",Eva!J12)</f>
        <v/>
      </c>
      <c r="K12" s="25">
        <f>IF(Eva!K12="","",Eva!K12)</f>
        <v/>
      </c>
      <c r="L12" s="24">
        <f>IF(Eva!L12="","",Eva!L12)</f>
        <v/>
      </c>
      <c r="M12" s="25">
        <f>IF(Eva!M12="","",Eva!M12)</f>
        <v/>
      </c>
      <c r="N12" s="25">
        <f>IF(Eva!N12="","",Eva!N12)</f>
        <v/>
      </c>
      <c r="O12" s="24">
        <f>IF(Eva!O12="","",Eva!O12)</f>
        <v/>
      </c>
      <c r="P12" s="25">
        <f>IF(Eva!P12="","",Eva!P12)</f>
        <v/>
      </c>
      <c r="Q12" s="25">
        <f>IF(Eva!Q12="","",Eva!Q12)</f>
        <v/>
      </c>
      <c r="R12" s="24">
        <f>IF(Eva!R12="","",Eva!R12)</f>
        <v/>
      </c>
      <c r="S12" s="25">
        <f>IF(Eva!S12="","",Eva!S12)</f>
        <v/>
      </c>
      <c r="T12" s="25">
        <f>IF(Eva!T12="","",Eva!T12)</f>
        <v/>
      </c>
      <c r="U12" s="24">
        <f>IF(Eva!U12="","",Eva!U12)</f>
        <v/>
      </c>
      <c r="V12" s="25">
        <f>IF(Eva!V12="","",Eva!V12)</f>
        <v/>
      </c>
      <c r="W12" s="25">
        <f>IF(Eva!W12="","",Eva!W12)</f>
        <v/>
      </c>
      <c r="X12" s="24">
        <f>IF(Eva!X12="","",Eva!X12)</f>
        <v/>
      </c>
      <c r="Y12" s="25">
        <f>IF(Eva!Y12="","",Eva!Y12)</f>
        <v/>
      </c>
      <c r="Z12" s="25">
        <f>IF(Eva!Z12="","",Eva!Z12)</f>
        <v/>
      </c>
      <c r="AA12" s="26">
        <f>IF(Eva!AA12="","",Eva!AA12)</f>
        <v/>
      </c>
      <c r="AB12" s="25">
        <f>IF(Eva!AB12="","",Eva!AB12)</f>
        <v/>
      </c>
      <c r="AC12" s="25">
        <f>IF(Eva!AC12="","",Eva!AC12)</f>
        <v/>
      </c>
      <c r="AD12" s="24">
        <f>IF(Eva!AD12="","",Eva!AD12)</f>
        <v/>
      </c>
      <c r="AE12" s="25">
        <f>IF(Eva!AE12="","",Eva!AE12)</f>
        <v/>
      </c>
      <c r="AF12" s="25">
        <f>IF(Eva!AF12="","",Eva!AF12)</f>
        <v/>
      </c>
      <c r="AG12" s="24">
        <f>IF(Eva!AG12="","",Eva!AG12)</f>
        <v/>
      </c>
      <c r="AH12" s="25">
        <f>IF(Eva!AH12="","",Eva!AH12)</f>
        <v/>
      </c>
      <c r="AI12" s="25">
        <f>IF(Eva!AI12="","",Eva!AI12)</f>
        <v/>
      </c>
      <c r="AJ12" s="24">
        <f>IF(Eva!AJ12="","",Eva!AJ12)</f>
        <v/>
      </c>
      <c r="AK12" s="25">
        <f>IF(Eva!AK12="","",Eva!AK12)</f>
        <v/>
      </c>
      <c r="AL12" s="25">
        <f>IF(Eva!AL12="","",Eva!AL12)</f>
        <v/>
      </c>
      <c r="AM12" s="24">
        <f>IF(Eva!AM12="","",Eva!AM12)</f>
        <v/>
      </c>
      <c r="AN12" s="25">
        <f>IF(Eva!AN12="","",Eva!AN12)</f>
        <v/>
      </c>
      <c r="AO12" s="25">
        <f>IF(Eva!AO12="","",Eva!AO12)</f>
        <v/>
      </c>
      <c r="AP12" s="24">
        <f>IF(Eva!AP12="","",Eva!AP12)</f>
        <v/>
      </c>
      <c r="AQ12" s="25">
        <f>IF(Eva!AQ12="","",Eva!AQ12)</f>
        <v/>
      </c>
      <c r="AR12" s="25">
        <f>IF(Eva!AR12="","",Eva!AR12)</f>
        <v/>
      </c>
      <c r="AS12" s="24">
        <f>IF(Eva!AS12="","",Eva!AS12)</f>
        <v/>
      </c>
      <c r="AT12" s="25">
        <f>IF(Eva!AT12="","",Eva!AT12)</f>
        <v/>
      </c>
      <c r="AU12" s="25">
        <f>IF(Eva!AU12="","",Eva!AU12)</f>
        <v/>
      </c>
      <c r="AV12" s="24">
        <f>IF(Eva!AV12="","",Eva!AV12)</f>
        <v/>
      </c>
      <c r="AW12" s="25">
        <f>IF(Eva!AW12="","",Eva!AW12)</f>
        <v/>
      </c>
      <c r="AX12" s="25">
        <f>IF(Eva!AX12="","",Eva!AX12)</f>
        <v/>
      </c>
      <c r="AY12" s="27" t="inlineStr">
        <is>
          <t>BOP</t>
        </is>
      </c>
    </row>
    <row r="13" ht="21" customHeight="1">
      <c r="A13" s="22" t="n"/>
      <c r="B13" s="23" t="inlineStr">
        <is>
          <t>CEJ-GM</t>
        </is>
      </c>
      <c r="C13" s="79">
        <f>IF(OR(Eva!C13="",'Pre-Tx'!C13=""),"",Eva!C13-'Pre-Tx'!C13)</f>
        <v/>
      </c>
      <c r="D13" s="80">
        <f>IF(OR(Eva!D13="",'Pre-Tx'!D13=""),"",Eva!D13-'Pre-Tx'!D13)</f>
        <v/>
      </c>
      <c r="E13" s="80">
        <f>IF(OR(Eva!E13="",'Pre-Tx'!E13=""),"",Eva!E13-'Pre-Tx'!E13)</f>
        <v/>
      </c>
      <c r="F13" s="79">
        <f>IF(OR(Eva!F13="",'Pre-Tx'!F13=""),"",Eva!F13-'Pre-Tx'!F13)</f>
        <v/>
      </c>
      <c r="G13" s="80">
        <f>IF(OR(Eva!G13="",'Pre-Tx'!G13=""),"",Eva!G13-'Pre-Tx'!G13)</f>
        <v/>
      </c>
      <c r="H13" s="80">
        <f>IF(OR(Eva!H13="",'Pre-Tx'!H13=""),"",Eva!H13-'Pre-Tx'!H13)</f>
        <v/>
      </c>
      <c r="I13" s="79">
        <f>IF(OR(Eva!I13="",'Pre-Tx'!I13=""),"",Eva!I13-'Pre-Tx'!I13)</f>
        <v/>
      </c>
      <c r="J13" s="80">
        <f>IF(OR(Eva!J13="",'Pre-Tx'!J13=""),"",Eva!J13-'Pre-Tx'!J13)</f>
        <v/>
      </c>
      <c r="K13" s="80">
        <f>IF(OR(Eva!K13="",'Pre-Tx'!K13=""),"",Eva!K13-'Pre-Tx'!K13)</f>
        <v/>
      </c>
      <c r="L13" s="79">
        <f>IF(OR(Eva!L13="",'Pre-Tx'!L13=""),"",Eva!L13-'Pre-Tx'!L13)</f>
        <v/>
      </c>
      <c r="M13" s="80">
        <f>IF(OR(Eva!M13="",'Pre-Tx'!M13=""),"",Eva!M13-'Pre-Tx'!M13)</f>
        <v/>
      </c>
      <c r="N13" s="80">
        <f>IF(OR(Eva!N13="",'Pre-Tx'!N13=""),"",Eva!N13-'Pre-Tx'!N13)</f>
        <v/>
      </c>
      <c r="O13" s="79">
        <f>IF(OR(Eva!O13="",'Pre-Tx'!O13=""),"",Eva!O13-'Pre-Tx'!O13)</f>
        <v/>
      </c>
      <c r="P13" s="80">
        <f>IF(OR(Eva!P13="",'Pre-Tx'!P13=""),"",Eva!P13-'Pre-Tx'!P13)</f>
        <v/>
      </c>
      <c r="Q13" s="80">
        <f>IF(OR(Eva!Q13="",'Pre-Tx'!Q13=""),"",Eva!Q13-'Pre-Tx'!Q13)</f>
        <v/>
      </c>
      <c r="R13" s="79">
        <f>IF(OR(Eva!R13="",'Pre-Tx'!R13=""),"",Eva!R13-'Pre-Tx'!R13)</f>
        <v/>
      </c>
      <c r="S13" s="80">
        <f>IF(OR(Eva!S13="",'Pre-Tx'!S13=""),"",Eva!S13-'Pre-Tx'!S13)</f>
        <v/>
      </c>
      <c r="T13" s="80">
        <f>IF(OR(Eva!T13="",'Pre-Tx'!T13=""),"",Eva!T13-'Pre-Tx'!T13)</f>
        <v/>
      </c>
      <c r="U13" s="79">
        <f>IF(OR(Eva!U13="",'Pre-Tx'!U13=""),"",Eva!U13-'Pre-Tx'!U13)</f>
        <v/>
      </c>
      <c r="V13" s="80">
        <f>IF(OR(Eva!V13="",'Pre-Tx'!V13=""),"",Eva!V13-'Pre-Tx'!V13)</f>
        <v/>
      </c>
      <c r="W13" s="80">
        <f>IF(OR(Eva!W13="",'Pre-Tx'!W13=""),"",Eva!W13-'Pre-Tx'!W13)</f>
        <v/>
      </c>
      <c r="X13" s="79">
        <f>IF(OR(Eva!X13="",'Pre-Tx'!X13=""),"",Eva!X13-'Pre-Tx'!X13)</f>
        <v/>
      </c>
      <c r="Y13" s="80">
        <f>IF(OR(Eva!Y13="",'Pre-Tx'!Y13=""),"",Eva!Y13-'Pre-Tx'!Y13)</f>
        <v/>
      </c>
      <c r="Z13" s="80">
        <f>IF(OR(Eva!Z13="",'Pre-Tx'!Z13=""),"",Eva!Z13-'Pre-Tx'!Z13)</f>
        <v/>
      </c>
      <c r="AA13" s="81">
        <f>IF(OR(Eva!AA13="",'Pre-Tx'!AA13=""),"",Eva!AA13-'Pre-Tx'!AA13)</f>
        <v/>
      </c>
      <c r="AB13" s="80">
        <f>IF(OR(Eva!AB13="",'Pre-Tx'!AB13=""),"",Eva!AB13-'Pre-Tx'!AB13)</f>
        <v/>
      </c>
      <c r="AC13" s="80">
        <f>IF(OR(Eva!AC13="",'Pre-Tx'!AC13=""),"",Eva!AC13-'Pre-Tx'!AC13)</f>
        <v/>
      </c>
      <c r="AD13" s="79">
        <f>IF(OR(Eva!AD13="",'Pre-Tx'!AD13=""),"",Eva!AD13-'Pre-Tx'!AD13)</f>
        <v/>
      </c>
      <c r="AE13" s="80">
        <f>IF(OR(Eva!AE13="",'Pre-Tx'!AE13=""),"",Eva!AE13-'Pre-Tx'!AE13)</f>
        <v/>
      </c>
      <c r="AF13" s="80">
        <f>IF(OR(Eva!AF13="",'Pre-Tx'!AF13=""),"",Eva!AF13-'Pre-Tx'!AF13)</f>
        <v/>
      </c>
      <c r="AG13" s="79">
        <f>IF(OR(Eva!AG13="",'Pre-Tx'!AG13=""),"",Eva!AG13-'Pre-Tx'!AG13)</f>
        <v/>
      </c>
      <c r="AH13" s="80">
        <f>IF(OR(Eva!AH13="",'Pre-Tx'!AH13=""),"",Eva!AH13-'Pre-Tx'!AH13)</f>
        <v/>
      </c>
      <c r="AI13" s="80">
        <f>IF(OR(Eva!AI13="",'Pre-Tx'!AI13=""),"",Eva!AI13-'Pre-Tx'!AI13)</f>
        <v/>
      </c>
      <c r="AJ13" s="79">
        <f>IF(OR(Eva!AJ13="",'Pre-Tx'!AJ13=""),"",Eva!AJ13-'Pre-Tx'!AJ13)</f>
        <v/>
      </c>
      <c r="AK13" s="80">
        <f>IF(OR(Eva!AK13="",'Pre-Tx'!AK13=""),"",Eva!AK13-'Pre-Tx'!AK13)</f>
        <v/>
      </c>
      <c r="AL13" s="80">
        <f>IF(OR(Eva!AL13="",'Pre-Tx'!AL13=""),"",Eva!AL13-'Pre-Tx'!AL13)</f>
        <v/>
      </c>
      <c r="AM13" s="79">
        <f>IF(OR(Eva!AM13="",'Pre-Tx'!AM13=""),"",Eva!AM13-'Pre-Tx'!AM13)</f>
        <v/>
      </c>
      <c r="AN13" s="80">
        <f>IF(OR(Eva!AN13="",'Pre-Tx'!AN13=""),"",Eva!AN13-'Pre-Tx'!AN13)</f>
        <v/>
      </c>
      <c r="AO13" s="80">
        <f>IF(OR(Eva!AO13="",'Pre-Tx'!AO13=""),"",Eva!AO13-'Pre-Tx'!AO13)</f>
        <v/>
      </c>
      <c r="AP13" s="79">
        <f>IF(OR(Eva!AP13="",'Pre-Tx'!AP13=""),"",Eva!AP13-'Pre-Tx'!AP13)</f>
        <v/>
      </c>
      <c r="AQ13" s="80">
        <f>IF(OR(Eva!AQ13="",'Pre-Tx'!AQ13=""),"",Eva!AQ13-'Pre-Tx'!AQ13)</f>
        <v/>
      </c>
      <c r="AR13" s="80">
        <f>IF(OR(Eva!AR13="",'Pre-Tx'!AR13=""),"",Eva!AR13-'Pre-Tx'!AR13)</f>
        <v/>
      </c>
      <c r="AS13" s="79">
        <f>IF(OR(Eva!AS13="",'Pre-Tx'!AS13=""),"",Eva!AS13-'Pre-Tx'!AS13)</f>
        <v/>
      </c>
      <c r="AT13" s="80">
        <f>IF(OR(Eva!AT13="",'Pre-Tx'!AT13=""),"",Eva!AT13-'Pre-Tx'!AT13)</f>
        <v/>
      </c>
      <c r="AU13" s="80">
        <f>IF(OR(Eva!AU13="",'Pre-Tx'!AU13=""),"",Eva!AU13-'Pre-Tx'!AU13)</f>
        <v/>
      </c>
      <c r="AV13" s="79">
        <f>IF(OR(Eva!AV13="",'Pre-Tx'!AV13=""),"",Eva!AV13-'Pre-Tx'!AV13)</f>
        <v/>
      </c>
      <c r="AW13" s="80">
        <f>IF(OR(Eva!AW13="",'Pre-Tx'!AW13=""),"",Eva!AW13-'Pre-Tx'!AW13)</f>
        <v/>
      </c>
      <c r="AX13" s="80">
        <f>IF(OR(Eva!AX13="",'Pre-Tx'!AX13=""),"",Eva!AX13-'Pre-Tx'!AX13)</f>
        <v/>
      </c>
      <c r="AY13" s="27" t="inlineStr">
        <is>
          <t>CEJ-GM</t>
        </is>
      </c>
    </row>
    <row r="14" ht="21" customHeight="1">
      <c r="A14" s="22" t="n"/>
      <c r="B14" s="23" t="inlineStr">
        <is>
          <t>PD</t>
        </is>
      </c>
      <c r="C14" s="82">
        <f>IF(OR(Eva!C14="",'Pre-Tx'!C14=""),"",Eva!C14-'Pre-Tx'!C14)</f>
        <v/>
      </c>
      <c r="D14" s="83">
        <f>IF(OR(Eva!D14="",'Pre-Tx'!D14=""),"",Eva!D14-'Pre-Tx'!D14)</f>
        <v/>
      </c>
      <c r="E14" s="83">
        <f>IF(OR(Eva!E14="",'Pre-Tx'!E14=""),"",Eva!E14-'Pre-Tx'!E14)</f>
        <v/>
      </c>
      <c r="F14" s="82">
        <f>IF(OR(Eva!F14="",'Pre-Tx'!F14=""),"",Eva!F14-'Pre-Tx'!F14)</f>
        <v/>
      </c>
      <c r="G14" s="83">
        <f>IF(OR(Eva!G14="",'Pre-Tx'!G14=""),"",Eva!G14-'Pre-Tx'!G14)</f>
        <v/>
      </c>
      <c r="H14" s="83">
        <f>IF(OR(Eva!H14="",'Pre-Tx'!H14=""),"",Eva!H14-'Pre-Tx'!H14)</f>
        <v/>
      </c>
      <c r="I14" s="82">
        <f>IF(OR(Eva!I14="",'Pre-Tx'!I14=""),"",Eva!I14-'Pre-Tx'!I14)</f>
        <v/>
      </c>
      <c r="J14" s="83">
        <f>IF(OR(Eva!J14="",'Pre-Tx'!J14=""),"",Eva!J14-'Pre-Tx'!J14)</f>
        <v/>
      </c>
      <c r="K14" s="83">
        <f>IF(OR(Eva!K14="",'Pre-Tx'!K14=""),"",Eva!K14-'Pre-Tx'!K14)</f>
        <v/>
      </c>
      <c r="L14" s="82">
        <f>IF(OR(Eva!L14="",'Pre-Tx'!L14=""),"",Eva!L14-'Pre-Tx'!L14)</f>
        <v/>
      </c>
      <c r="M14" s="83">
        <f>IF(OR(Eva!M14="",'Pre-Tx'!M14=""),"",Eva!M14-'Pre-Tx'!M14)</f>
        <v/>
      </c>
      <c r="N14" s="83">
        <f>IF(OR(Eva!N14="",'Pre-Tx'!N14=""),"",Eva!N14-'Pre-Tx'!N14)</f>
        <v/>
      </c>
      <c r="O14" s="82">
        <f>IF(OR(Eva!O14="",'Pre-Tx'!O14=""),"",Eva!O14-'Pre-Tx'!O14)</f>
        <v/>
      </c>
      <c r="P14" s="83">
        <f>IF(OR(Eva!P14="",'Pre-Tx'!P14=""),"",Eva!P14-'Pre-Tx'!P14)</f>
        <v/>
      </c>
      <c r="Q14" s="83">
        <f>IF(OR(Eva!Q14="",'Pre-Tx'!Q14=""),"",Eva!Q14-'Pre-Tx'!Q14)</f>
        <v/>
      </c>
      <c r="R14" s="82">
        <f>IF(OR(Eva!R14="",'Pre-Tx'!R14=""),"",Eva!R14-'Pre-Tx'!R14)</f>
        <v/>
      </c>
      <c r="S14" s="83">
        <f>IF(OR(Eva!S14="",'Pre-Tx'!S14=""),"",Eva!S14-'Pre-Tx'!S14)</f>
        <v/>
      </c>
      <c r="T14" s="83">
        <f>IF(OR(Eva!T14="",'Pre-Tx'!T14=""),"",Eva!T14-'Pre-Tx'!T14)</f>
        <v/>
      </c>
      <c r="U14" s="82">
        <f>IF(OR(Eva!U14="",'Pre-Tx'!U14=""),"",Eva!U14-'Pre-Tx'!U14)</f>
        <v/>
      </c>
      <c r="V14" s="83">
        <f>IF(OR(Eva!V14="",'Pre-Tx'!V14=""),"",Eva!V14-'Pre-Tx'!V14)</f>
        <v/>
      </c>
      <c r="W14" s="83">
        <f>IF(OR(Eva!W14="",'Pre-Tx'!W14=""),"",Eva!W14-'Pre-Tx'!W14)</f>
        <v/>
      </c>
      <c r="X14" s="82">
        <f>IF(OR(Eva!X14="",'Pre-Tx'!X14=""),"",Eva!X14-'Pre-Tx'!X14)</f>
        <v/>
      </c>
      <c r="Y14" s="83">
        <f>IF(OR(Eva!Y14="",'Pre-Tx'!Y14=""),"",Eva!Y14-'Pre-Tx'!Y14)</f>
        <v/>
      </c>
      <c r="Z14" s="83">
        <f>IF(OR(Eva!Z14="",'Pre-Tx'!Z14=""),"",Eva!Z14-'Pre-Tx'!Z14)</f>
        <v/>
      </c>
      <c r="AA14" s="84">
        <f>IF(OR(Eva!AA14="",'Pre-Tx'!AA14=""),"",Eva!AA14-'Pre-Tx'!AA14)</f>
        <v/>
      </c>
      <c r="AB14" s="83">
        <f>IF(OR(Eva!AB14="",'Pre-Tx'!AB14=""),"",Eva!AB14-'Pre-Tx'!AB14)</f>
        <v/>
      </c>
      <c r="AC14" s="83">
        <f>IF(OR(Eva!AC14="",'Pre-Tx'!AC14=""),"",Eva!AC14-'Pre-Tx'!AC14)</f>
        <v/>
      </c>
      <c r="AD14" s="82">
        <f>IF(OR(Eva!AD14="",'Pre-Tx'!AD14=""),"",Eva!AD14-'Pre-Tx'!AD14)</f>
        <v/>
      </c>
      <c r="AE14" s="83">
        <f>IF(OR(Eva!AE14="",'Pre-Tx'!AE14=""),"",Eva!AE14-'Pre-Tx'!AE14)</f>
        <v/>
      </c>
      <c r="AF14" s="83">
        <f>IF(OR(Eva!AF14="",'Pre-Tx'!AF14=""),"",Eva!AF14-'Pre-Tx'!AF14)</f>
        <v/>
      </c>
      <c r="AG14" s="82">
        <f>IF(OR(Eva!AG14="",'Pre-Tx'!AG14=""),"",Eva!AG14-'Pre-Tx'!AG14)</f>
        <v/>
      </c>
      <c r="AH14" s="83">
        <f>IF(OR(Eva!AH14="",'Pre-Tx'!AH14=""),"",Eva!AH14-'Pre-Tx'!AH14)</f>
        <v/>
      </c>
      <c r="AI14" s="83">
        <f>IF(OR(Eva!AI14="",'Pre-Tx'!AI14=""),"",Eva!AI14-'Pre-Tx'!AI14)</f>
        <v/>
      </c>
      <c r="AJ14" s="82">
        <f>IF(OR(Eva!AJ14="",'Pre-Tx'!AJ14=""),"",Eva!AJ14-'Pre-Tx'!AJ14)</f>
        <v/>
      </c>
      <c r="AK14" s="83">
        <f>IF(OR(Eva!AK14="",'Pre-Tx'!AK14=""),"",Eva!AK14-'Pre-Tx'!AK14)</f>
        <v/>
      </c>
      <c r="AL14" s="83">
        <f>IF(OR(Eva!AL14="",'Pre-Tx'!AL14=""),"",Eva!AL14-'Pre-Tx'!AL14)</f>
        <v/>
      </c>
      <c r="AM14" s="82">
        <f>IF(OR(Eva!AM14="",'Pre-Tx'!AM14=""),"",Eva!AM14-'Pre-Tx'!AM14)</f>
        <v/>
      </c>
      <c r="AN14" s="83">
        <f>IF(OR(Eva!AN14="",'Pre-Tx'!AN14=""),"",Eva!AN14-'Pre-Tx'!AN14)</f>
        <v/>
      </c>
      <c r="AO14" s="83">
        <f>IF(OR(Eva!AO14="",'Pre-Tx'!AO14=""),"",Eva!AO14-'Pre-Tx'!AO14)</f>
        <v/>
      </c>
      <c r="AP14" s="82">
        <f>IF(OR(Eva!AP14="",'Pre-Tx'!AP14=""),"",Eva!AP14-'Pre-Tx'!AP14)</f>
        <v/>
      </c>
      <c r="AQ14" s="83">
        <f>IF(OR(Eva!AQ14="",'Pre-Tx'!AQ14=""),"",Eva!AQ14-'Pre-Tx'!AQ14)</f>
        <v/>
      </c>
      <c r="AR14" s="83">
        <f>IF(OR(Eva!AR14="",'Pre-Tx'!AR14=""),"",Eva!AR14-'Pre-Tx'!AR14)</f>
        <v/>
      </c>
      <c r="AS14" s="82">
        <f>IF(OR(Eva!AS14="",'Pre-Tx'!AS14=""),"",Eva!AS14-'Pre-Tx'!AS14)</f>
        <v/>
      </c>
      <c r="AT14" s="83">
        <f>IF(OR(Eva!AT14="",'Pre-Tx'!AT14=""),"",Eva!AT14-'Pre-Tx'!AT14)</f>
        <v/>
      </c>
      <c r="AU14" s="83">
        <f>IF(OR(Eva!AU14="",'Pre-Tx'!AU14=""),"",Eva!AU14-'Pre-Tx'!AU14)</f>
        <v/>
      </c>
      <c r="AV14" s="82">
        <f>IF(OR(Eva!AV14="",'Pre-Tx'!AV14=""),"",Eva!AV14-'Pre-Tx'!AV14)</f>
        <v/>
      </c>
      <c r="AW14" s="83">
        <f>IF(OR(Eva!AW14="",'Pre-Tx'!AW14=""),"",Eva!AW14-'Pre-Tx'!AW14)</f>
        <v/>
      </c>
      <c r="AX14" s="83">
        <f>IF(OR(Eva!AX14="",'Pre-Tx'!AX14=""),"",Eva!AX14-'Pre-Tx'!AX14)</f>
        <v/>
      </c>
      <c r="AY14" s="27" t="inlineStr">
        <is>
          <t>PD</t>
        </is>
      </c>
    </row>
    <row r="15" ht="19" customHeight="1">
      <c r="A15" s="34" t="n"/>
      <c r="B15" s="35" t="inlineStr">
        <is>
          <t>CAL</t>
        </is>
      </c>
      <c r="C15" s="85">
        <f>IF(OR(Eva!C15="",'Pre-Tx'!C15=""),"",Eva!C15-'Pre-Tx'!C15)</f>
        <v/>
      </c>
      <c r="D15" s="86">
        <f>IF(OR(Eva!D15="",'Pre-Tx'!D15=""),"",Eva!D15-'Pre-Tx'!D15)</f>
        <v/>
      </c>
      <c r="E15" s="86">
        <f>IF(OR(Eva!E15="",'Pre-Tx'!E15=""),"",Eva!E15-'Pre-Tx'!E15)</f>
        <v/>
      </c>
      <c r="F15" s="85">
        <f>IF(OR(Eva!F15="",'Pre-Tx'!F15=""),"",Eva!F15-'Pre-Tx'!F15)</f>
        <v/>
      </c>
      <c r="G15" s="86">
        <f>IF(OR(Eva!G15="",'Pre-Tx'!G15=""),"",Eva!G15-'Pre-Tx'!G15)</f>
        <v/>
      </c>
      <c r="H15" s="86">
        <f>IF(OR(Eva!H15="",'Pre-Tx'!H15=""),"",Eva!H15-'Pre-Tx'!H15)</f>
        <v/>
      </c>
      <c r="I15" s="85">
        <f>IF(OR(Eva!I15="",'Pre-Tx'!I15=""),"",Eva!I15-'Pre-Tx'!I15)</f>
        <v/>
      </c>
      <c r="J15" s="86">
        <f>IF(OR(Eva!J15="",'Pre-Tx'!J15=""),"",Eva!J15-'Pre-Tx'!J15)</f>
        <v/>
      </c>
      <c r="K15" s="86">
        <f>IF(OR(Eva!K15="",'Pre-Tx'!K15=""),"",Eva!K15-'Pre-Tx'!K15)</f>
        <v/>
      </c>
      <c r="L15" s="85">
        <f>IF(OR(Eva!L15="",'Pre-Tx'!L15=""),"",Eva!L15-'Pre-Tx'!L15)</f>
        <v/>
      </c>
      <c r="M15" s="86">
        <f>IF(OR(Eva!M15="",'Pre-Tx'!M15=""),"",Eva!M15-'Pre-Tx'!M15)</f>
        <v/>
      </c>
      <c r="N15" s="86">
        <f>IF(OR(Eva!N15="",'Pre-Tx'!N15=""),"",Eva!N15-'Pre-Tx'!N15)</f>
        <v/>
      </c>
      <c r="O15" s="85">
        <f>IF(OR(Eva!O15="",'Pre-Tx'!O15=""),"",Eva!O15-'Pre-Tx'!O15)</f>
        <v/>
      </c>
      <c r="P15" s="86">
        <f>IF(OR(Eva!P15="",'Pre-Tx'!P15=""),"",Eva!P15-'Pre-Tx'!P15)</f>
        <v/>
      </c>
      <c r="Q15" s="86">
        <f>IF(OR(Eva!Q15="",'Pre-Tx'!Q15=""),"",Eva!Q15-'Pre-Tx'!Q15)</f>
        <v/>
      </c>
      <c r="R15" s="85">
        <f>IF(OR(Eva!R15="",'Pre-Tx'!R15=""),"",Eva!R15-'Pre-Tx'!R15)</f>
        <v/>
      </c>
      <c r="S15" s="86">
        <f>IF(OR(Eva!S15="",'Pre-Tx'!S15=""),"",Eva!S15-'Pre-Tx'!S15)</f>
        <v/>
      </c>
      <c r="T15" s="86">
        <f>IF(OR(Eva!T15="",'Pre-Tx'!T15=""),"",Eva!T15-'Pre-Tx'!T15)</f>
        <v/>
      </c>
      <c r="U15" s="85">
        <f>IF(OR(Eva!U15="",'Pre-Tx'!U15=""),"",Eva!U15-'Pre-Tx'!U15)</f>
        <v/>
      </c>
      <c r="V15" s="86">
        <f>IF(OR(Eva!V15="",'Pre-Tx'!V15=""),"",Eva!V15-'Pre-Tx'!V15)</f>
        <v/>
      </c>
      <c r="W15" s="86">
        <f>IF(OR(Eva!W15="",'Pre-Tx'!W15=""),"",Eva!W15-'Pre-Tx'!W15)</f>
        <v/>
      </c>
      <c r="X15" s="85">
        <f>IF(OR(Eva!X15="",'Pre-Tx'!X15=""),"",Eva!X15-'Pre-Tx'!X15)</f>
        <v/>
      </c>
      <c r="Y15" s="86">
        <f>IF(OR(Eva!Y15="",'Pre-Tx'!Y15=""),"",Eva!Y15-'Pre-Tx'!Y15)</f>
        <v/>
      </c>
      <c r="Z15" s="86">
        <f>IF(OR(Eva!Z15="",'Pre-Tx'!Z15=""),"",Eva!Z15-'Pre-Tx'!Z15)</f>
        <v/>
      </c>
      <c r="AA15" s="87">
        <f>IF(OR(Eva!AA15="",'Pre-Tx'!AA15=""),"",Eva!AA15-'Pre-Tx'!AA15)</f>
        <v/>
      </c>
      <c r="AB15" s="86">
        <f>IF(OR(Eva!AB15="",'Pre-Tx'!AB15=""),"",Eva!AB15-'Pre-Tx'!AB15)</f>
        <v/>
      </c>
      <c r="AC15" s="86">
        <f>IF(OR(Eva!AC15="",'Pre-Tx'!AC15=""),"",Eva!AC15-'Pre-Tx'!AC15)</f>
        <v/>
      </c>
      <c r="AD15" s="85">
        <f>IF(OR(Eva!AD15="",'Pre-Tx'!AD15=""),"",Eva!AD15-'Pre-Tx'!AD15)</f>
        <v/>
      </c>
      <c r="AE15" s="86">
        <f>IF(OR(Eva!AE15="",'Pre-Tx'!AE15=""),"",Eva!AE15-'Pre-Tx'!AE15)</f>
        <v/>
      </c>
      <c r="AF15" s="86">
        <f>IF(OR(Eva!AF15="",'Pre-Tx'!AF15=""),"",Eva!AF15-'Pre-Tx'!AF15)</f>
        <v/>
      </c>
      <c r="AG15" s="85">
        <f>IF(OR(Eva!AG15="",'Pre-Tx'!AG15=""),"",Eva!AG15-'Pre-Tx'!AG15)</f>
        <v/>
      </c>
      <c r="AH15" s="86">
        <f>IF(OR(Eva!AH15="",'Pre-Tx'!AH15=""),"",Eva!AH15-'Pre-Tx'!AH15)</f>
        <v/>
      </c>
      <c r="AI15" s="86">
        <f>IF(OR(Eva!AI15="",'Pre-Tx'!AI15=""),"",Eva!AI15-'Pre-Tx'!AI15)</f>
        <v/>
      </c>
      <c r="AJ15" s="85">
        <f>IF(OR(Eva!AJ15="",'Pre-Tx'!AJ15=""),"",Eva!AJ15-'Pre-Tx'!AJ15)</f>
        <v/>
      </c>
      <c r="AK15" s="86">
        <f>IF(OR(Eva!AK15="",'Pre-Tx'!AK15=""),"",Eva!AK15-'Pre-Tx'!AK15)</f>
        <v/>
      </c>
      <c r="AL15" s="86">
        <f>IF(OR(Eva!AL15="",'Pre-Tx'!AL15=""),"",Eva!AL15-'Pre-Tx'!AL15)</f>
        <v/>
      </c>
      <c r="AM15" s="85">
        <f>IF(OR(Eva!AM15="",'Pre-Tx'!AM15=""),"",Eva!AM15-'Pre-Tx'!AM15)</f>
        <v/>
      </c>
      <c r="AN15" s="86">
        <f>IF(OR(Eva!AN15="",'Pre-Tx'!AN15=""),"",Eva!AN15-'Pre-Tx'!AN15)</f>
        <v/>
      </c>
      <c r="AO15" s="86">
        <f>IF(OR(Eva!AO15="",'Pre-Tx'!AO15=""),"",Eva!AO15-'Pre-Tx'!AO15)</f>
        <v/>
      </c>
      <c r="AP15" s="85">
        <f>IF(OR(Eva!AP15="",'Pre-Tx'!AP15=""),"",Eva!AP15-'Pre-Tx'!AP15)</f>
        <v/>
      </c>
      <c r="AQ15" s="86">
        <f>IF(OR(Eva!AQ15="",'Pre-Tx'!AQ15=""),"",Eva!AQ15-'Pre-Tx'!AQ15)</f>
        <v/>
      </c>
      <c r="AR15" s="86">
        <f>IF(OR(Eva!AR15="",'Pre-Tx'!AR15=""),"",Eva!AR15-'Pre-Tx'!AR15)</f>
        <v/>
      </c>
      <c r="AS15" s="85">
        <f>IF(OR(Eva!AS15="",'Pre-Tx'!AS15=""),"",Eva!AS15-'Pre-Tx'!AS15)</f>
        <v/>
      </c>
      <c r="AT15" s="86">
        <f>IF(OR(Eva!AT15="",'Pre-Tx'!AT15=""),"",Eva!AT15-'Pre-Tx'!AT15)</f>
        <v/>
      </c>
      <c r="AU15" s="86">
        <f>IF(OR(Eva!AU15="",'Pre-Tx'!AU15=""),"",Eva!AU15-'Pre-Tx'!AU15)</f>
        <v/>
      </c>
      <c r="AV15" s="85">
        <f>IF(OR(Eva!AV15="",'Pre-Tx'!AV15=""),"",Eva!AV15-'Pre-Tx'!AV15)</f>
        <v/>
      </c>
      <c r="AW15" s="86">
        <f>IF(OR(Eva!AW15="",'Pre-Tx'!AW15=""),"",Eva!AW15-'Pre-Tx'!AW15)</f>
        <v/>
      </c>
      <c r="AX15" s="86">
        <f>IF(OR(Eva!AX15="",'Pre-Tx'!AX15=""),"",Eva!AX15-'Pre-Tx'!AX15)</f>
        <v/>
      </c>
      <c r="AY15" s="39" t="inlineStr">
        <is>
          <t>CAL</t>
        </is>
      </c>
    </row>
    <row r="16" ht="18.89" customHeight="1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3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4" t="n"/>
    </row>
    <row r="17" ht="18.89" customHeight="1">
      <c r="A17" s="47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9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50" t="n"/>
    </row>
    <row r="18" ht="18.89" customHeight="1">
      <c r="A18" s="47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9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  <c r="AY18" s="50" t="n"/>
    </row>
    <row r="19" ht="18.89" customHeight="1">
      <c r="A19" s="47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9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  <c r="AY19" s="50" t="n"/>
    </row>
    <row r="20" ht="18.89" customHeight="1">
      <c r="A20" s="47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9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  <c r="AY20" s="50" t="n"/>
    </row>
    <row r="21" ht="18.89" customHeight="1">
      <c r="A21" s="47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9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  <c r="AY21" s="50" t="n"/>
    </row>
    <row r="22" ht="18.89" customHeight="1">
      <c r="A22" s="51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3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4" t="n"/>
    </row>
    <row r="23" ht="19" customHeight="1">
      <c r="A23" s="55" t="inlineStr">
        <is>
          <t>PALATAL</t>
        </is>
      </c>
      <c r="B23" s="56" t="inlineStr">
        <is>
          <t>CAL</t>
        </is>
      </c>
      <c r="C23" s="88">
        <f>IF(OR(Eva!C23="",'Pre-Tx'!C23=""),"",Eva!C23-'Pre-Tx'!C23)</f>
        <v/>
      </c>
      <c r="D23" s="89">
        <f>IF(OR(Eva!D23="",'Pre-Tx'!D23=""),"",Eva!D23-'Pre-Tx'!D23)</f>
        <v/>
      </c>
      <c r="E23" s="89">
        <f>IF(OR(Eva!E23="",'Pre-Tx'!E23=""),"",Eva!E23-'Pre-Tx'!E23)</f>
        <v/>
      </c>
      <c r="F23" s="88">
        <f>IF(OR(Eva!F23="",'Pre-Tx'!F23=""),"",Eva!F23-'Pre-Tx'!F23)</f>
        <v/>
      </c>
      <c r="G23" s="89">
        <f>IF(OR(Eva!G23="",'Pre-Tx'!G23=""),"",Eva!G23-'Pre-Tx'!G23)</f>
        <v/>
      </c>
      <c r="H23" s="89">
        <f>IF(OR(Eva!H23="",'Pre-Tx'!H23=""),"",Eva!H23-'Pre-Tx'!H23)</f>
        <v/>
      </c>
      <c r="I23" s="88">
        <f>IF(OR(Eva!I23="",'Pre-Tx'!I23=""),"",Eva!I23-'Pre-Tx'!I23)</f>
        <v/>
      </c>
      <c r="J23" s="89">
        <f>IF(OR(Eva!J23="",'Pre-Tx'!J23=""),"",Eva!J23-'Pre-Tx'!J23)</f>
        <v/>
      </c>
      <c r="K23" s="89">
        <f>IF(OR(Eva!K23="",'Pre-Tx'!K23=""),"",Eva!K23-'Pre-Tx'!K23)</f>
        <v/>
      </c>
      <c r="L23" s="88">
        <f>IF(OR(Eva!L23="",'Pre-Tx'!L23=""),"",Eva!L23-'Pre-Tx'!L23)</f>
        <v/>
      </c>
      <c r="M23" s="89">
        <f>IF(OR(Eva!M23="",'Pre-Tx'!M23=""),"",Eva!M23-'Pre-Tx'!M23)</f>
        <v/>
      </c>
      <c r="N23" s="89">
        <f>IF(OR(Eva!N23="",'Pre-Tx'!N23=""),"",Eva!N23-'Pre-Tx'!N23)</f>
        <v/>
      </c>
      <c r="O23" s="88">
        <f>IF(OR(Eva!O23="",'Pre-Tx'!O23=""),"",Eva!O23-'Pre-Tx'!O23)</f>
        <v/>
      </c>
      <c r="P23" s="89">
        <f>IF(OR(Eva!P23="",'Pre-Tx'!P23=""),"",Eva!P23-'Pre-Tx'!P23)</f>
        <v/>
      </c>
      <c r="Q23" s="89">
        <f>IF(OR(Eva!Q23="",'Pre-Tx'!Q23=""),"",Eva!Q23-'Pre-Tx'!Q23)</f>
        <v/>
      </c>
      <c r="R23" s="88">
        <f>IF(OR(Eva!R23="",'Pre-Tx'!R23=""),"",Eva!R23-'Pre-Tx'!R23)</f>
        <v/>
      </c>
      <c r="S23" s="89">
        <f>IF(OR(Eva!S23="",'Pre-Tx'!S23=""),"",Eva!S23-'Pre-Tx'!S23)</f>
        <v/>
      </c>
      <c r="T23" s="89">
        <f>IF(OR(Eva!T23="",'Pre-Tx'!T23=""),"",Eva!T23-'Pre-Tx'!T23)</f>
        <v/>
      </c>
      <c r="U23" s="88">
        <f>IF(OR(Eva!U23="",'Pre-Tx'!U23=""),"",Eva!U23-'Pre-Tx'!U23)</f>
        <v/>
      </c>
      <c r="V23" s="89">
        <f>IF(OR(Eva!V23="",'Pre-Tx'!V23=""),"",Eva!V23-'Pre-Tx'!V23)</f>
        <v/>
      </c>
      <c r="W23" s="89">
        <f>IF(OR(Eva!W23="",'Pre-Tx'!W23=""),"",Eva!W23-'Pre-Tx'!W23)</f>
        <v/>
      </c>
      <c r="X23" s="88">
        <f>IF(OR(Eva!X23="",'Pre-Tx'!X23=""),"",Eva!X23-'Pre-Tx'!X23)</f>
        <v/>
      </c>
      <c r="Y23" s="89">
        <f>IF(OR(Eva!Y23="",'Pre-Tx'!Y23=""),"",Eva!Y23-'Pre-Tx'!Y23)</f>
        <v/>
      </c>
      <c r="Z23" s="89">
        <f>IF(OR(Eva!Z23="",'Pre-Tx'!Z23=""),"",Eva!Z23-'Pre-Tx'!Z23)</f>
        <v/>
      </c>
      <c r="AA23" s="90">
        <f>IF(OR(Eva!AA23="",'Pre-Tx'!AA23=""),"",Eva!AA23-'Pre-Tx'!AA23)</f>
        <v/>
      </c>
      <c r="AB23" s="89">
        <f>IF(OR(Eva!AB23="",'Pre-Tx'!AB23=""),"",Eva!AB23-'Pre-Tx'!AB23)</f>
        <v/>
      </c>
      <c r="AC23" s="89">
        <f>IF(OR(Eva!AC23="",'Pre-Tx'!AC23=""),"",Eva!AC23-'Pre-Tx'!AC23)</f>
        <v/>
      </c>
      <c r="AD23" s="88">
        <f>IF(OR(Eva!AD23="",'Pre-Tx'!AD23=""),"",Eva!AD23-'Pre-Tx'!AD23)</f>
        <v/>
      </c>
      <c r="AE23" s="89">
        <f>IF(OR(Eva!AE23="",'Pre-Tx'!AE23=""),"",Eva!AE23-'Pre-Tx'!AE23)</f>
        <v/>
      </c>
      <c r="AF23" s="89">
        <f>IF(OR(Eva!AF23="",'Pre-Tx'!AF23=""),"",Eva!AF23-'Pre-Tx'!AF23)</f>
        <v/>
      </c>
      <c r="AG23" s="88">
        <f>IF(OR(Eva!AG23="",'Pre-Tx'!AG23=""),"",Eva!AG23-'Pre-Tx'!AG23)</f>
        <v/>
      </c>
      <c r="AH23" s="89">
        <f>IF(OR(Eva!AH23="",'Pre-Tx'!AH23=""),"",Eva!AH23-'Pre-Tx'!AH23)</f>
        <v/>
      </c>
      <c r="AI23" s="89">
        <f>IF(OR(Eva!AI23="",'Pre-Tx'!AI23=""),"",Eva!AI23-'Pre-Tx'!AI23)</f>
        <v/>
      </c>
      <c r="AJ23" s="88">
        <f>IF(OR(Eva!AJ23="",'Pre-Tx'!AJ23=""),"",Eva!AJ23-'Pre-Tx'!AJ23)</f>
        <v/>
      </c>
      <c r="AK23" s="89">
        <f>IF(OR(Eva!AK23="",'Pre-Tx'!AK23=""),"",Eva!AK23-'Pre-Tx'!AK23)</f>
        <v/>
      </c>
      <c r="AL23" s="89">
        <f>IF(OR(Eva!AL23="",'Pre-Tx'!AL23=""),"",Eva!AL23-'Pre-Tx'!AL23)</f>
        <v/>
      </c>
      <c r="AM23" s="88">
        <f>IF(OR(Eva!AM23="",'Pre-Tx'!AM23=""),"",Eva!AM23-'Pre-Tx'!AM23)</f>
        <v/>
      </c>
      <c r="AN23" s="89">
        <f>IF(OR(Eva!AN23="",'Pre-Tx'!AN23=""),"",Eva!AN23-'Pre-Tx'!AN23)</f>
        <v/>
      </c>
      <c r="AO23" s="89">
        <f>IF(OR(Eva!AO23="",'Pre-Tx'!AO23=""),"",Eva!AO23-'Pre-Tx'!AO23)</f>
        <v/>
      </c>
      <c r="AP23" s="88">
        <f>IF(OR(Eva!AP23="",'Pre-Tx'!AP23=""),"",Eva!AP23-'Pre-Tx'!AP23)</f>
        <v/>
      </c>
      <c r="AQ23" s="89">
        <f>IF(OR(Eva!AQ23="",'Pre-Tx'!AQ23=""),"",Eva!AQ23-'Pre-Tx'!AQ23)</f>
        <v/>
      </c>
      <c r="AR23" s="89">
        <f>IF(OR(Eva!AR23="",'Pre-Tx'!AR23=""),"",Eva!AR23-'Pre-Tx'!AR23)</f>
        <v/>
      </c>
      <c r="AS23" s="88">
        <f>IF(OR(Eva!AS23="",'Pre-Tx'!AS23=""),"",Eva!AS23-'Pre-Tx'!AS23)</f>
        <v/>
      </c>
      <c r="AT23" s="89">
        <f>IF(OR(Eva!AT23="",'Pre-Tx'!AT23=""),"",Eva!AT23-'Pre-Tx'!AT23)</f>
        <v/>
      </c>
      <c r="AU23" s="89">
        <f>IF(OR(Eva!AU23="",'Pre-Tx'!AU23=""),"",Eva!AU23-'Pre-Tx'!AU23)</f>
        <v/>
      </c>
      <c r="AV23" s="88">
        <f>IF(OR(Eva!AV23="",'Pre-Tx'!AV23=""),"",Eva!AV23-'Pre-Tx'!AV23)</f>
        <v/>
      </c>
      <c r="AW23" s="89">
        <f>IF(OR(Eva!AW23="",'Pre-Tx'!AW23=""),"",Eva!AW23-'Pre-Tx'!AW23)</f>
        <v/>
      </c>
      <c r="AX23" s="89">
        <f>IF(OR(Eva!AX23="",'Pre-Tx'!AX23=""),"",Eva!AX23-'Pre-Tx'!AX23)</f>
        <v/>
      </c>
      <c r="AY23" s="60" t="inlineStr">
        <is>
          <t>CAL</t>
        </is>
      </c>
    </row>
    <row r="24" ht="21" customHeight="1">
      <c r="A24" s="22" t="n"/>
      <c r="B24" s="23" t="inlineStr">
        <is>
          <t>PD</t>
        </is>
      </c>
      <c r="C24" s="82">
        <f>IF(OR(Eva!C24="",'Pre-Tx'!C24=""),"",Eva!C24-'Pre-Tx'!C24)</f>
        <v/>
      </c>
      <c r="D24" s="83">
        <f>IF(OR(Eva!D24="",'Pre-Tx'!D24=""),"",Eva!D24-'Pre-Tx'!D24)</f>
        <v/>
      </c>
      <c r="E24" s="83">
        <f>IF(OR(Eva!E24="",'Pre-Tx'!E24=""),"",Eva!E24-'Pre-Tx'!E24)</f>
        <v/>
      </c>
      <c r="F24" s="82">
        <f>IF(OR(Eva!F24="",'Pre-Tx'!F24=""),"",Eva!F24-'Pre-Tx'!F24)</f>
        <v/>
      </c>
      <c r="G24" s="83">
        <f>IF(OR(Eva!G24="",'Pre-Tx'!G24=""),"",Eva!G24-'Pre-Tx'!G24)</f>
        <v/>
      </c>
      <c r="H24" s="83">
        <f>IF(OR(Eva!H24="",'Pre-Tx'!H24=""),"",Eva!H24-'Pre-Tx'!H24)</f>
        <v/>
      </c>
      <c r="I24" s="82">
        <f>IF(OR(Eva!I24="",'Pre-Tx'!I24=""),"",Eva!I24-'Pre-Tx'!I24)</f>
        <v/>
      </c>
      <c r="J24" s="83">
        <f>IF(OR(Eva!J24="",'Pre-Tx'!J24=""),"",Eva!J24-'Pre-Tx'!J24)</f>
        <v/>
      </c>
      <c r="K24" s="83">
        <f>IF(OR(Eva!K24="",'Pre-Tx'!K24=""),"",Eva!K24-'Pre-Tx'!K24)</f>
        <v/>
      </c>
      <c r="L24" s="82">
        <f>IF(OR(Eva!L24="",'Pre-Tx'!L24=""),"",Eva!L24-'Pre-Tx'!L24)</f>
        <v/>
      </c>
      <c r="M24" s="83">
        <f>IF(OR(Eva!M24="",'Pre-Tx'!M24=""),"",Eva!M24-'Pre-Tx'!M24)</f>
        <v/>
      </c>
      <c r="N24" s="83">
        <f>IF(OR(Eva!N24="",'Pre-Tx'!N24=""),"",Eva!N24-'Pre-Tx'!N24)</f>
        <v/>
      </c>
      <c r="O24" s="82">
        <f>IF(OR(Eva!O24="",'Pre-Tx'!O24=""),"",Eva!O24-'Pre-Tx'!O24)</f>
        <v/>
      </c>
      <c r="P24" s="83">
        <f>IF(OR(Eva!P24="",'Pre-Tx'!P24=""),"",Eva!P24-'Pre-Tx'!P24)</f>
        <v/>
      </c>
      <c r="Q24" s="83">
        <f>IF(OR(Eva!Q24="",'Pre-Tx'!Q24=""),"",Eva!Q24-'Pre-Tx'!Q24)</f>
        <v/>
      </c>
      <c r="R24" s="82">
        <f>IF(OR(Eva!R24="",'Pre-Tx'!R24=""),"",Eva!R24-'Pre-Tx'!R24)</f>
        <v/>
      </c>
      <c r="S24" s="83">
        <f>IF(OR(Eva!S24="",'Pre-Tx'!S24=""),"",Eva!S24-'Pre-Tx'!S24)</f>
        <v/>
      </c>
      <c r="T24" s="83">
        <f>IF(OR(Eva!T24="",'Pre-Tx'!T24=""),"",Eva!T24-'Pre-Tx'!T24)</f>
        <v/>
      </c>
      <c r="U24" s="82">
        <f>IF(OR(Eva!U24="",'Pre-Tx'!U24=""),"",Eva!U24-'Pre-Tx'!U24)</f>
        <v/>
      </c>
      <c r="V24" s="83">
        <f>IF(OR(Eva!V24="",'Pre-Tx'!V24=""),"",Eva!V24-'Pre-Tx'!V24)</f>
        <v/>
      </c>
      <c r="W24" s="83">
        <f>IF(OR(Eva!W24="",'Pre-Tx'!W24=""),"",Eva!W24-'Pre-Tx'!W24)</f>
        <v/>
      </c>
      <c r="X24" s="82">
        <f>IF(OR(Eva!X24="",'Pre-Tx'!X24=""),"",Eva!X24-'Pre-Tx'!X24)</f>
        <v/>
      </c>
      <c r="Y24" s="83">
        <f>IF(OR(Eva!Y24="",'Pre-Tx'!Y24=""),"",Eva!Y24-'Pre-Tx'!Y24)</f>
        <v/>
      </c>
      <c r="Z24" s="83">
        <f>IF(OR(Eva!Z24="",'Pre-Tx'!Z24=""),"",Eva!Z24-'Pre-Tx'!Z24)</f>
        <v/>
      </c>
      <c r="AA24" s="84">
        <f>IF(OR(Eva!AA24="",'Pre-Tx'!AA24=""),"",Eva!AA24-'Pre-Tx'!AA24)</f>
        <v/>
      </c>
      <c r="AB24" s="83">
        <f>IF(OR(Eva!AB24="",'Pre-Tx'!AB24=""),"",Eva!AB24-'Pre-Tx'!AB24)</f>
        <v/>
      </c>
      <c r="AC24" s="83">
        <f>IF(OR(Eva!AC24="",'Pre-Tx'!AC24=""),"",Eva!AC24-'Pre-Tx'!AC24)</f>
        <v/>
      </c>
      <c r="AD24" s="82">
        <f>IF(OR(Eva!AD24="",'Pre-Tx'!AD24=""),"",Eva!AD24-'Pre-Tx'!AD24)</f>
        <v/>
      </c>
      <c r="AE24" s="83">
        <f>IF(OR(Eva!AE24="",'Pre-Tx'!AE24=""),"",Eva!AE24-'Pre-Tx'!AE24)</f>
        <v/>
      </c>
      <c r="AF24" s="83">
        <f>IF(OR(Eva!AF24="",'Pre-Tx'!AF24=""),"",Eva!AF24-'Pre-Tx'!AF24)</f>
        <v/>
      </c>
      <c r="AG24" s="82">
        <f>IF(OR(Eva!AG24="",'Pre-Tx'!AG24=""),"",Eva!AG24-'Pre-Tx'!AG24)</f>
        <v/>
      </c>
      <c r="AH24" s="83">
        <f>IF(OR(Eva!AH24="",'Pre-Tx'!AH24=""),"",Eva!AH24-'Pre-Tx'!AH24)</f>
        <v/>
      </c>
      <c r="AI24" s="83">
        <f>IF(OR(Eva!AI24="",'Pre-Tx'!AI24=""),"",Eva!AI24-'Pre-Tx'!AI24)</f>
        <v/>
      </c>
      <c r="AJ24" s="82">
        <f>IF(OR(Eva!AJ24="",'Pre-Tx'!AJ24=""),"",Eva!AJ24-'Pre-Tx'!AJ24)</f>
        <v/>
      </c>
      <c r="AK24" s="83">
        <f>IF(OR(Eva!AK24="",'Pre-Tx'!AK24=""),"",Eva!AK24-'Pre-Tx'!AK24)</f>
        <v/>
      </c>
      <c r="AL24" s="83">
        <f>IF(OR(Eva!AL24="",'Pre-Tx'!AL24=""),"",Eva!AL24-'Pre-Tx'!AL24)</f>
        <v/>
      </c>
      <c r="AM24" s="82">
        <f>IF(OR(Eva!AM24="",'Pre-Tx'!AM24=""),"",Eva!AM24-'Pre-Tx'!AM24)</f>
        <v/>
      </c>
      <c r="AN24" s="83">
        <f>IF(OR(Eva!AN24="",'Pre-Tx'!AN24=""),"",Eva!AN24-'Pre-Tx'!AN24)</f>
        <v/>
      </c>
      <c r="AO24" s="83">
        <f>IF(OR(Eva!AO24="",'Pre-Tx'!AO24=""),"",Eva!AO24-'Pre-Tx'!AO24)</f>
        <v/>
      </c>
      <c r="AP24" s="82">
        <f>IF(OR(Eva!AP24="",'Pre-Tx'!AP24=""),"",Eva!AP24-'Pre-Tx'!AP24)</f>
        <v/>
      </c>
      <c r="AQ24" s="83">
        <f>IF(OR(Eva!AQ24="",'Pre-Tx'!AQ24=""),"",Eva!AQ24-'Pre-Tx'!AQ24)</f>
        <v/>
      </c>
      <c r="AR24" s="83">
        <f>IF(OR(Eva!AR24="",'Pre-Tx'!AR24=""),"",Eva!AR24-'Pre-Tx'!AR24)</f>
        <v/>
      </c>
      <c r="AS24" s="82">
        <f>IF(OR(Eva!AS24="",'Pre-Tx'!AS24=""),"",Eva!AS24-'Pre-Tx'!AS24)</f>
        <v/>
      </c>
      <c r="AT24" s="83">
        <f>IF(OR(Eva!AT24="",'Pre-Tx'!AT24=""),"",Eva!AT24-'Pre-Tx'!AT24)</f>
        <v/>
      </c>
      <c r="AU24" s="83">
        <f>IF(OR(Eva!AU24="",'Pre-Tx'!AU24=""),"",Eva!AU24-'Pre-Tx'!AU24)</f>
        <v/>
      </c>
      <c r="AV24" s="82">
        <f>IF(OR(Eva!AV24="",'Pre-Tx'!AV24=""),"",Eva!AV24-'Pre-Tx'!AV24)</f>
        <v/>
      </c>
      <c r="AW24" s="83">
        <f>IF(OR(Eva!AW24="",'Pre-Tx'!AW24=""),"",Eva!AW24-'Pre-Tx'!AW24)</f>
        <v/>
      </c>
      <c r="AX24" s="83">
        <f>IF(OR(Eva!AX24="",'Pre-Tx'!AX24=""),"",Eva!AX24-'Pre-Tx'!AX24)</f>
        <v/>
      </c>
      <c r="AY24" s="27" t="inlineStr">
        <is>
          <t>PD</t>
        </is>
      </c>
    </row>
    <row r="25" ht="21" customHeight="1">
      <c r="A25" s="22" t="n"/>
      <c r="B25" s="23" t="inlineStr">
        <is>
          <t>CEJ-GM</t>
        </is>
      </c>
      <c r="C25" s="79">
        <f>IF(OR(Eva!C25="",'Pre-Tx'!C25=""),"",Eva!C25-'Pre-Tx'!C25)</f>
        <v/>
      </c>
      <c r="D25" s="80">
        <f>IF(OR(Eva!D25="",'Pre-Tx'!D25=""),"",Eva!D25-'Pre-Tx'!D25)</f>
        <v/>
      </c>
      <c r="E25" s="80">
        <f>IF(OR(Eva!E25="",'Pre-Tx'!E25=""),"",Eva!E25-'Pre-Tx'!E25)</f>
        <v/>
      </c>
      <c r="F25" s="79">
        <f>IF(OR(Eva!F25="",'Pre-Tx'!F25=""),"",Eva!F25-'Pre-Tx'!F25)</f>
        <v/>
      </c>
      <c r="G25" s="80">
        <f>IF(OR(Eva!G25="",'Pre-Tx'!G25=""),"",Eva!G25-'Pre-Tx'!G25)</f>
        <v/>
      </c>
      <c r="H25" s="80">
        <f>IF(OR(Eva!H25="",'Pre-Tx'!H25=""),"",Eva!H25-'Pre-Tx'!H25)</f>
        <v/>
      </c>
      <c r="I25" s="79">
        <f>IF(OR(Eva!I25="",'Pre-Tx'!I25=""),"",Eva!I25-'Pre-Tx'!I25)</f>
        <v/>
      </c>
      <c r="J25" s="80">
        <f>IF(OR(Eva!J25="",'Pre-Tx'!J25=""),"",Eva!J25-'Pre-Tx'!J25)</f>
        <v/>
      </c>
      <c r="K25" s="80">
        <f>IF(OR(Eva!K25="",'Pre-Tx'!K25=""),"",Eva!K25-'Pre-Tx'!K25)</f>
        <v/>
      </c>
      <c r="L25" s="79">
        <f>IF(OR(Eva!L25="",'Pre-Tx'!L25=""),"",Eva!L25-'Pre-Tx'!L25)</f>
        <v/>
      </c>
      <c r="M25" s="80">
        <f>IF(OR(Eva!M25="",'Pre-Tx'!M25=""),"",Eva!M25-'Pre-Tx'!M25)</f>
        <v/>
      </c>
      <c r="N25" s="80">
        <f>IF(OR(Eva!N25="",'Pre-Tx'!N25=""),"",Eva!N25-'Pre-Tx'!N25)</f>
        <v/>
      </c>
      <c r="O25" s="79">
        <f>IF(OR(Eva!O25="",'Pre-Tx'!O25=""),"",Eva!O25-'Pre-Tx'!O25)</f>
        <v/>
      </c>
      <c r="P25" s="80">
        <f>IF(OR(Eva!P25="",'Pre-Tx'!P25=""),"",Eva!P25-'Pre-Tx'!P25)</f>
        <v/>
      </c>
      <c r="Q25" s="80">
        <f>IF(OR(Eva!Q25="",'Pre-Tx'!Q25=""),"",Eva!Q25-'Pre-Tx'!Q25)</f>
        <v/>
      </c>
      <c r="R25" s="79">
        <f>IF(OR(Eva!R25="",'Pre-Tx'!R25=""),"",Eva!R25-'Pre-Tx'!R25)</f>
        <v/>
      </c>
      <c r="S25" s="80">
        <f>IF(OR(Eva!S25="",'Pre-Tx'!S25=""),"",Eva!S25-'Pre-Tx'!S25)</f>
        <v/>
      </c>
      <c r="T25" s="80">
        <f>IF(OR(Eva!T25="",'Pre-Tx'!T25=""),"",Eva!T25-'Pre-Tx'!T25)</f>
        <v/>
      </c>
      <c r="U25" s="79">
        <f>IF(OR(Eva!U25="",'Pre-Tx'!U25=""),"",Eva!U25-'Pre-Tx'!U25)</f>
        <v/>
      </c>
      <c r="V25" s="80">
        <f>IF(OR(Eva!V25="",'Pre-Tx'!V25=""),"",Eva!V25-'Pre-Tx'!V25)</f>
        <v/>
      </c>
      <c r="W25" s="80">
        <f>IF(OR(Eva!W25="",'Pre-Tx'!W25=""),"",Eva!W25-'Pre-Tx'!W25)</f>
        <v/>
      </c>
      <c r="X25" s="79">
        <f>IF(OR(Eva!X25="",'Pre-Tx'!X25=""),"",Eva!X25-'Pre-Tx'!X25)</f>
        <v/>
      </c>
      <c r="Y25" s="80">
        <f>IF(OR(Eva!Y25="",'Pre-Tx'!Y25=""),"",Eva!Y25-'Pre-Tx'!Y25)</f>
        <v/>
      </c>
      <c r="Z25" s="80">
        <f>IF(OR(Eva!Z25="",'Pre-Tx'!Z25=""),"",Eva!Z25-'Pre-Tx'!Z25)</f>
        <v/>
      </c>
      <c r="AA25" s="81">
        <f>IF(OR(Eva!AA25="",'Pre-Tx'!AA25=""),"",Eva!AA25-'Pre-Tx'!AA25)</f>
        <v/>
      </c>
      <c r="AB25" s="80">
        <f>IF(OR(Eva!AB25="",'Pre-Tx'!AB25=""),"",Eva!AB25-'Pre-Tx'!AB25)</f>
        <v/>
      </c>
      <c r="AC25" s="80">
        <f>IF(OR(Eva!AC25="",'Pre-Tx'!AC25=""),"",Eva!AC25-'Pre-Tx'!AC25)</f>
        <v/>
      </c>
      <c r="AD25" s="79">
        <f>IF(OR(Eva!AD25="",'Pre-Tx'!AD25=""),"",Eva!AD25-'Pre-Tx'!AD25)</f>
        <v/>
      </c>
      <c r="AE25" s="80">
        <f>IF(OR(Eva!AE25="",'Pre-Tx'!AE25=""),"",Eva!AE25-'Pre-Tx'!AE25)</f>
        <v/>
      </c>
      <c r="AF25" s="80">
        <f>IF(OR(Eva!AF25="",'Pre-Tx'!AF25=""),"",Eva!AF25-'Pre-Tx'!AF25)</f>
        <v/>
      </c>
      <c r="AG25" s="79">
        <f>IF(OR(Eva!AG25="",'Pre-Tx'!AG25=""),"",Eva!AG25-'Pre-Tx'!AG25)</f>
        <v/>
      </c>
      <c r="AH25" s="80">
        <f>IF(OR(Eva!AH25="",'Pre-Tx'!AH25=""),"",Eva!AH25-'Pre-Tx'!AH25)</f>
        <v/>
      </c>
      <c r="AI25" s="80">
        <f>IF(OR(Eva!AI25="",'Pre-Tx'!AI25=""),"",Eva!AI25-'Pre-Tx'!AI25)</f>
        <v/>
      </c>
      <c r="AJ25" s="79">
        <f>IF(OR(Eva!AJ25="",'Pre-Tx'!AJ25=""),"",Eva!AJ25-'Pre-Tx'!AJ25)</f>
        <v/>
      </c>
      <c r="AK25" s="80">
        <f>IF(OR(Eva!AK25="",'Pre-Tx'!AK25=""),"",Eva!AK25-'Pre-Tx'!AK25)</f>
        <v/>
      </c>
      <c r="AL25" s="80">
        <f>IF(OR(Eva!AL25="",'Pre-Tx'!AL25=""),"",Eva!AL25-'Pre-Tx'!AL25)</f>
        <v/>
      </c>
      <c r="AM25" s="79">
        <f>IF(OR(Eva!AM25="",'Pre-Tx'!AM25=""),"",Eva!AM25-'Pre-Tx'!AM25)</f>
        <v/>
      </c>
      <c r="AN25" s="80">
        <f>IF(OR(Eva!AN25="",'Pre-Tx'!AN25=""),"",Eva!AN25-'Pre-Tx'!AN25)</f>
        <v/>
      </c>
      <c r="AO25" s="80">
        <f>IF(OR(Eva!AO25="",'Pre-Tx'!AO25=""),"",Eva!AO25-'Pre-Tx'!AO25)</f>
        <v/>
      </c>
      <c r="AP25" s="79">
        <f>IF(OR(Eva!AP25="",'Pre-Tx'!AP25=""),"",Eva!AP25-'Pre-Tx'!AP25)</f>
        <v/>
      </c>
      <c r="AQ25" s="80">
        <f>IF(OR(Eva!AQ25="",'Pre-Tx'!AQ25=""),"",Eva!AQ25-'Pre-Tx'!AQ25)</f>
        <v/>
      </c>
      <c r="AR25" s="80">
        <f>IF(OR(Eva!AR25="",'Pre-Tx'!AR25=""),"",Eva!AR25-'Pre-Tx'!AR25)</f>
        <v/>
      </c>
      <c r="AS25" s="79">
        <f>IF(OR(Eva!AS25="",'Pre-Tx'!AS25=""),"",Eva!AS25-'Pre-Tx'!AS25)</f>
        <v/>
      </c>
      <c r="AT25" s="80">
        <f>IF(OR(Eva!AT25="",'Pre-Tx'!AT25=""),"",Eva!AT25-'Pre-Tx'!AT25)</f>
        <v/>
      </c>
      <c r="AU25" s="80">
        <f>IF(OR(Eva!AU25="",'Pre-Tx'!AU25=""),"",Eva!AU25-'Pre-Tx'!AU25)</f>
        <v/>
      </c>
      <c r="AV25" s="79">
        <f>IF(OR(Eva!AV25="",'Pre-Tx'!AV25=""),"",Eva!AV25-'Pre-Tx'!AV25)</f>
        <v/>
      </c>
      <c r="AW25" s="80">
        <f>IF(OR(Eva!AW25="",'Pre-Tx'!AW25=""),"",Eva!AW25-'Pre-Tx'!AW25)</f>
        <v/>
      </c>
      <c r="AX25" s="80">
        <f>IF(OR(Eva!AX25="",'Pre-Tx'!AX25=""),"",Eva!AX25-'Pre-Tx'!AX25)</f>
        <v/>
      </c>
      <c r="AY25" s="27" t="inlineStr">
        <is>
          <t>CEJ-GM</t>
        </is>
      </c>
    </row>
    <row r="26" ht="21" customHeight="1">
      <c r="A26" s="22" t="n"/>
      <c r="B26" s="23" t="inlineStr">
        <is>
          <t>BOP</t>
        </is>
      </c>
      <c r="C26" s="24">
        <f>IF(Eva!C26="","",Eva!C26)</f>
        <v/>
      </c>
      <c r="D26" s="25">
        <f>IF(Eva!D26="","",Eva!D26)</f>
        <v/>
      </c>
      <c r="E26" s="25">
        <f>IF(Eva!E26="","",Eva!E26)</f>
        <v/>
      </c>
      <c r="F26" s="24">
        <f>IF(Eva!F26="","",Eva!F26)</f>
        <v/>
      </c>
      <c r="G26" s="25">
        <f>IF(Eva!G26="","",Eva!G26)</f>
        <v/>
      </c>
      <c r="H26" s="25">
        <f>IF(Eva!H26="","",Eva!H26)</f>
        <v/>
      </c>
      <c r="I26" s="24">
        <f>IF(Eva!I26="","",Eva!I26)</f>
        <v/>
      </c>
      <c r="J26" s="25">
        <f>IF(Eva!J26="","",Eva!J26)</f>
        <v/>
      </c>
      <c r="K26" s="25">
        <f>IF(Eva!K26="","",Eva!K26)</f>
        <v/>
      </c>
      <c r="L26" s="24">
        <f>IF(Eva!L26="","",Eva!L26)</f>
        <v/>
      </c>
      <c r="M26" s="25">
        <f>IF(Eva!M26="","",Eva!M26)</f>
        <v/>
      </c>
      <c r="N26" s="25">
        <f>IF(Eva!N26="","",Eva!N26)</f>
        <v/>
      </c>
      <c r="O26" s="24">
        <f>IF(Eva!O26="","",Eva!O26)</f>
        <v/>
      </c>
      <c r="P26" s="25">
        <f>IF(Eva!P26="","",Eva!P26)</f>
        <v/>
      </c>
      <c r="Q26" s="25">
        <f>IF(Eva!Q26="","",Eva!Q26)</f>
        <v/>
      </c>
      <c r="R26" s="24">
        <f>IF(Eva!R26="","",Eva!R26)</f>
        <v/>
      </c>
      <c r="S26" s="25">
        <f>IF(Eva!S26="","",Eva!S26)</f>
        <v/>
      </c>
      <c r="T26" s="25">
        <f>IF(Eva!T26="","",Eva!T26)</f>
        <v/>
      </c>
      <c r="U26" s="24">
        <f>IF(Eva!U26="","",Eva!U26)</f>
        <v/>
      </c>
      <c r="V26" s="25">
        <f>IF(Eva!V26="","",Eva!V26)</f>
        <v/>
      </c>
      <c r="W26" s="25">
        <f>IF(Eva!W26="","",Eva!W26)</f>
        <v/>
      </c>
      <c r="X26" s="24">
        <f>IF(Eva!X26="","",Eva!X26)</f>
        <v/>
      </c>
      <c r="Y26" s="25">
        <f>IF(Eva!Y26="","",Eva!Y26)</f>
        <v/>
      </c>
      <c r="Z26" s="25">
        <f>IF(Eva!Z26="","",Eva!Z26)</f>
        <v/>
      </c>
      <c r="AA26" s="26">
        <f>IF(Eva!AA26="","",Eva!AA26)</f>
        <v/>
      </c>
      <c r="AB26" s="25">
        <f>IF(Eva!AB26="","",Eva!AB26)</f>
        <v/>
      </c>
      <c r="AC26" s="25">
        <f>IF(Eva!AC26="","",Eva!AC26)</f>
        <v/>
      </c>
      <c r="AD26" s="24">
        <f>IF(Eva!AD26="","",Eva!AD26)</f>
        <v/>
      </c>
      <c r="AE26" s="25">
        <f>IF(Eva!AE26="","",Eva!AE26)</f>
        <v/>
      </c>
      <c r="AF26" s="25">
        <f>IF(Eva!AF26="","",Eva!AF26)</f>
        <v/>
      </c>
      <c r="AG26" s="24">
        <f>IF(Eva!AG26="","",Eva!AG26)</f>
        <v/>
      </c>
      <c r="AH26" s="25">
        <f>IF(Eva!AH26="","",Eva!AH26)</f>
        <v/>
      </c>
      <c r="AI26" s="25">
        <f>IF(Eva!AI26="","",Eva!AI26)</f>
        <v/>
      </c>
      <c r="AJ26" s="24">
        <f>IF(Eva!AJ26="","",Eva!AJ26)</f>
        <v/>
      </c>
      <c r="AK26" s="25">
        <f>IF(Eva!AK26="","",Eva!AK26)</f>
        <v/>
      </c>
      <c r="AL26" s="25">
        <f>IF(Eva!AL26="","",Eva!AL26)</f>
        <v/>
      </c>
      <c r="AM26" s="24">
        <f>IF(Eva!AM26="","",Eva!AM26)</f>
        <v/>
      </c>
      <c r="AN26" s="25">
        <f>IF(Eva!AN26="","",Eva!AN26)</f>
        <v/>
      </c>
      <c r="AO26" s="25">
        <f>IF(Eva!AO26="","",Eva!AO26)</f>
        <v/>
      </c>
      <c r="AP26" s="24">
        <f>IF(Eva!AP26="","",Eva!AP26)</f>
        <v/>
      </c>
      <c r="AQ26" s="25">
        <f>IF(Eva!AQ26="","",Eva!AQ26)</f>
        <v/>
      </c>
      <c r="AR26" s="25">
        <f>IF(Eva!AR26="","",Eva!AR26)</f>
        <v/>
      </c>
      <c r="AS26" s="24">
        <f>IF(Eva!AS26="","",Eva!AS26)</f>
        <v/>
      </c>
      <c r="AT26" s="25">
        <f>IF(Eva!AT26="","",Eva!AT26)</f>
        <v/>
      </c>
      <c r="AU26" s="25">
        <f>IF(Eva!AU26="","",Eva!AU26)</f>
        <v/>
      </c>
      <c r="AV26" s="24">
        <f>IF(Eva!AV26="","",Eva!AV26)</f>
        <v/>
      </c>
      <c r="AW26" s="25">
        <f>IF(Eva!AW26="","",Eva!AW26)</f>
        <v/>
      </c>
      <c r="AX26" s="25">
        <f>IF(Eva!AX26="","",Eva!AX26)</f>
        <v/>
      </c>
      <c r="AY26" s="27" t="inlineStr">
        <is>
          <t>BOP</t>
        </is>
      </c>
    </row>
    <row r="27" ht="21" customHeight="1">
      <c r="A27" s="22" t="n"/>
      <c r="B27" s="23" t="inlineStr">
        <is>
          <t>PLAQUE</t>
        </is>
      </c>
      <c r="C27" s="24">
        <f>IF(Eva!C27="","",Eva!C27)</f>
        <v/>
      </c>
      <c r="D27" s="25">
        <f>IF(Eva!D27="","",Eva!D27)</f>
        <v/>
      </c>
      <c r="E27" s="25">
        <f>IF(Eva!E27="","",Eva!E27)</f>
        <v/>
      </c>
      <c r="F27" s="24">
        <f>IF(Eva!F27="","",Eva!F27)</f>
        <v/>
      </c>
      <c r="G27" s="25">
        <f>IF(Eva!G27="","",Eva!G27)</f>
        <v/>
      </c>
      <c r="H27" s="25">
        <f>IF(Eva!H27="","",Eva!H27)</f>
        <v/>
      </c>
      <c r="I27" s="24">
        <f>IF(Eva!I27="","",Eva!I27)</f>
        <v/>
      </c>
      <c r="J27" s="25">
        <f>IF(Eva!J27="","",Eva!J27)</f>
        <v/>
      </c>
      <c r="K27" s="25">
        <f>IF(Eva!K27="","",Eva!K27)</f>
        <v/>
      </c>
      <c r="L27" s="24">
        <f>IF(Eva!L27="","",Eva!L27)</f>
        <v/>
      </c>
      <c r="M27" s="25">
        <f>IF(Eva!M27="","",Eva!M27)</f>
        <v/>
      </c>
      <c r="N27" s="25">
        <f>IF(Eva!N27="","",Eva!N27)</f>
        <v/>
      </c>
      <c r="O27" s="24">
        <f>IF(Eva!O27="","",Eva!O27)</f>
        <v/>
      </c>
      <c r="P27" s="25">
        <f>IF(Eva!P27="","",Eva!P27)</f>
        <v/>
      </c>
      <c r="Q27" s="25">
        <f>IF(Eva!Q27="","",Eva!Q27)</f>
        <v/>
      </c>
      <c r="R27" s="24">
        <f>IF(Eva!R27="","",Eva!R27)</f>
        <v/>
      </c>
      <c r="S27" s="25">
        <f>IF(Eva!S27="","",Eva!S27)</f>
        <v/>
      </c>
      <c r="T27" s="25">
        <f>IF(Eva!T27="","",Eva!T27)</f>
        <v/>
      </c>
      <c r="U27" s="24">
        <f>IF(Eva!U27="","",Eva!U27)</f>
        <v/>
      </c>
      <c r="V27" s="25">
        <f>IF(Eva!V27="","",Eva!V27)</f>
        <v/>
      </c>
      <c r="W27" s="25">
        <f>IF(Eva!W27="","",Eva!W27)</f>
        <v/>
      </c>
      <c r="X27" s="24">
        <f>IF(Eva!X27="","",Eva!X27)</f>
        <v/>
      </c>
      <c r="Y27" s="25">
        <f>IF(Eva!Y27="","",Eva!Y27)</f>
        <v/>
      </c>
      <c r="Z27" s="25">
        <f>IF(Eva!Z27="","",Eva!Z27)</f>
        <v/>
      </c>
      <c r="AA27" s="26">
        <f>IF(Eva!AA27="","",Eva!AA27)</f>
        <v/>
      </c>
      <c r="AB27" s="25">
        <f>IF(Eva!AB27="","",Eva!AB27)</f>
        <v/>
      </c>
      <c r="AC27" s="25">
        <f>IF(Eva!AC27="","",Eva!AC27)</f>
        <v/>
      </c>
      <c r="AD27" s="24">
        <f>IF(Eva!AD27="","",Eva!AD27)</f>
        <v/>
      </c>
      <c r="AE27" s="25">
        <f>IF(Eva!AE27="","",Eva!AE27)</f>
        <v/>
      </c>
      <c r="AF27" s="25">
        <f>IF(Eva!AF27="","",Eva!AF27)</f>
        <v/>
      </c>
      <c r="AG27" s="24">
        <f>IF(Eva!AG27="","",Eva!AG27)</f>
        <v/>
      </c>
      <c r="AH27" s="25">
        <f>IF(Eva!AH27="","",Eva!AH27)</f>
        <v/>
      </c>
      <c r="AI27" s="25">
        <f>IF(Eva!AI27="","",Eva!AI27)</f>
        <v/>
      </c>
      <c r="AJ27" s="24">
        <f>IF(Eva!AJ27="","",Eva!AJ27)</f>
        <v/>
      </c>
      <c r="AK27" s="25">
        <f>IF(Eva!AK27="","",Eva!AK27)</f>
        <v/>
      </c>
      <c r="AL27" s="25">
        <f>IF(Eva!AL27="","",Eva!AL27)</f>
        <v/>
      </c>
      <c r="AM27" s="24">
        <f>IF(Eva!AM27="","",Eva!AM27)</f>
        <v/>
      </c>
      <c r="AN27" s="25">
        <f>IF(Eva!AN27="","",Eva!AN27)</f>
        <v/>
      </c>
      <c r="AO27" s="25">
        <f>IF(Eva!AO27="","",Eva!AO27)</f>
        <v/>
      </c>
      <c r="AP27" s="24">
        <f>IF(Eva!AP27="","",Eva!AP27)</f>
        <v/>
      </c>
      <c r="AQ27" s="25">
        <f>IF(Eva!AQ27="","",Eva!AQ27)</f>
        <v/>
      </c>
      <c r="AR27" s="25">
        <f>IF(Eva!AR27="","",Eva!AR27)</f>
        <v/>
      </c>
      <c r="AS27" s="24">
        <f>IF(Eva!AS27="","",Eva!AS27)</f>
        <v/>
      </c>
      <c r="AT27" s="25">
        <f>IF(Eva!AT27="","",Eva!AT27)</f>
        <v/>
      </c>
      <c r="AU27" s="25">
        <f>IF(Eva!AU27="","",Eva!AU27)</f>
        <v/>
      </c>
      <c r="AV27" s="24">
        <f>IF(Eva!AV27="","",Eva!AV27)</f>
        <v/>
      </c>
      <c r="AW27" s="25">
        <f>IF(Eva!AW27="","",Eva!AW27)</f>
        <v/>
      </c>
      <c r="AX27" s="25">
        <f>IF(Eva!AX27="","",Eva!AX27)</f>
        <v/>
      </c>
      <c r="AY27" s="27" t="inlineStr">
        <is>
          <t>PLAQUE</t>
        </is>
      </c>
    </row>
    <row r="28" ht="18" customHeight="1">
      <c r="A28" s="61" t="inlineStr">
        <is>
          <t>MAXILLA</t>
        </is>
      </c>
      <c r="B28" s="62" t="n"/>
      <c r="C28" s="63" t="n">
        <v>18</v>
      </c>
      <c r="D28" s="64" t="n"/>
      <c r="E28" s="64" t="n"/>
      <c r="F28" s="63" t="n">
        <v>17</v>
      </c>
      <c r="G28" s="64" t="n"/>
      <c r="H28" s="64" t="n"/>
      <c r="I28" s="63" t="n">
        <v>16</v>
      </c>
      <c r="J28" s="64" t="n"/>
      <c r="K28" s="64" t="n"/>
      <c r="L28" s="63" t="n">
        <v>15</v>
      </c>
      <c r="M28" s="64" t="n"/>
      <c r="N28" s="64" t="n"/>
      <c r="O28" s="63" t="n">
        <v>14</v>
      </c>
      <c r="P28" s="64" t="n"/>
      <c r="Q28" s="64" t="n"/>
      <c r="R28" s="63" t="n">
        <v>13</v>
      </c>
      <c r="S28" s="64" t="n"/>
      <c r="T28" s="64" t="n"/>
      <c r="U28" s="63" t="n">
        <v>12</v>
      </c>
      <c r="V28" s="64" t="n"/>
      <c r="W28" s="64" t="n"/>
      <c r="X28" s="63" t="n">
        <v>11</v>
      </c>
      <c r="Y28" s="64" t="n"/>
      <c r="Z28" s="64" t="n"/>
      <c r="AA28" s="65" t="n">
        <v>21</v>
      </c>
      <c r="AB28" s="64" t="n"/>
      <c r="AC28" s="64" t="n"/>
      <c r="AD28" s="63" t="n">
        <v>22</v>
      </c>
      <c r="AE28" s="64" t="n"/>
      <c r="AF28" s="64" t="n"/>
      <c r="AG28" s="63" t="n">
        <v>23</v>
      </c>
      <c r="AH28" s="64" t="n"/>
      <c r="AI28" s="64" t="n"/>
      <c r="AJ28" s="63" t="n">
        <v>24</v>
      </c>
      <c r="AK28" s="64" t="n"/>
      <c r="AL28" s="64" t="n"/>
      <c r="AM28" s="63" t="n">
        <v>25</v>
      </c>
      <c r="AN28" s="64" t="n"/>
      <c r="AO28" s="64" t="n"/>
      <c r="AP28" s="63" t="n">
        <v>26</v>
      </c>
      <c r="AQ28" s="64" t="n"/>
      <c r="AR28" s="64" t="n"/>
      <c r="AS28" s="63" t="n">
        <v>27</v>
      </c>
      <c r="AT28" s="64" t="n"/>
      <c r="AU28" s="64" t="n"/>
      <c r="AV28" s="63" t="n">
        <v>28</v>
      </c>
      <c r="AW28" s="64" t="n"/>
      <c r="AX28" s="64" t="n"/>
      <c r="AY28" s="66" t="n"/>
    </row>
    <row r="29" ht="7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</row>
    <row r="30" ht="7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</row>
    <row r="31" ht="18" customHeight="1">
      <c r="A31" s="15" t="inlineStr">
        <is>
          <t>MANDIBLE</t>
        </is>
      </c>
      <c r="B31" s="16" t="n"/>
      <c r="C31" s="17" t="n">
        <v>48</v>
      </c>
      <c r="D31" s="18" t="n"/>
      <c r="E31" s="18" t="n"/>
      <c r="F31" s="17" t="n">
        <v>47</v>
      </c>
      <c r="G31" s="18" t="n"/>
      <c r="H31" s="18" t="n"/>
      <c r="I31" s="17" t="n">
        <v>46</v>
      </c>
      <c r="J31" s="18" t="n"/>
      <c r="K31" s="18" t="n"/>
      <c r="L31" s="17" t="n">
        <v>45</v>
      </c>
      <c r="M31" s="18" t="n"/>
      <c r="N31" s="18" t="n"/>
      <c r="O31" s="17" t="n">
        <v>44</v>
      </c>
      <c r="P31" s="18" t="n"/>
      <c r="Q31" s="18" t="n"/>
      <c r="R31" s="17" t="n">
        <v>43</v>
      </c>
      <c r="S31" s="18" t="n"/>
      <c r="T31" s="18" t="n"/>
      <c r="U31" s="17" t="n">
        <v>42</v>
      </c>
      <c r="V31" s="18" t="n"/>
      <c r="W31" s="18" t="n"/>
      <c r="X31" s="17" t="n">
        <v>41</v>
      </c>
      <c r="Y31" s="18" t="n"/>
      <c r="Z31" s="18" t="n"/>
      <c r="AA31" s="19" t="n">
        <v>31</v>
      </c>
      <c r="AB31" s="18" t="n"/>
      <c r="AC31" s="18" t="n"/>
      <c r="AD31" s="17" t="n">
        <v>32</v>
      </c>
      <c r="AE31" s="18" t="n"/>
      <c r="AF31" s="18" t="n"/>
      <c r="AG31" s="17" t="n">
        <v>33</v>
      </c>
      <c r="AH31" s="18" t="n"/>
      <c r="AI31" s="18" t="n"/>
      <c r="AJ31" s="17" t="n">
        <v>34</v>
      </c>
      <c r="AK31" s="18" t="n"/>
      <c r="AL31" s="18" t="n"/>
      <c r="AM31" s="17" t="n">
        <v>35</v>
      </c>
      <c r="AN31" s="18" t="n"/>
      <c r="AO31" s="18" t="n"/>
      <c r="AP31" s="17" t="n">
        <v>36</v>
      </c>
      <c r="AQ31" s="18" t="n"/>
      <c r="AR31" s="18" t="n"/>
      <c r="AS31" s="17" t="n">
        <v>37</v>
      </c>
      <c r="AT31" s="18" t="n"/>
      <c r="AU31" s="18" t="n"/>
      <c r="AV31" s="17" t="n">
        <v>38</v>
      </c>
      <c r="AW31" s="18" t="n"/>
      <c r="AX31" s="18" t="n"/>
      <c r="AY31" s="20" t="n"/>
    </row>
    <row r="32" ht="21" customHeight="1">
      <c r="A32" s="22" t="inlineStr">
        <is>
          <t>LINGUAL</t>
        </is>
      </c>
      <c r="B32" s="23" t="inlineStr">
        <is>
          <t>PLAQUE</t>
        </is>
      </c>
      <c r="C32" s="24">
        <f>IF(Eva!C32="","",Eva!C32)</f>
        <v/>
      </c>
      <c r="D32" s="25">
        <f>IF(Eva!D32="","",Eva!D32)</f>
        <v/>
      </c>
      <c r="E32" s="25">
        <f>IF(Eva!E32="","",Eva!E32)</f>
        <v/>
      </c>
      <c r="F32" s="24">
        <f>IF(Eva!F32="","",Eva!F32)</f>
        <v/>
      </c>
      <c r="G32" s="25">
        <f>IF(Eva!G32="","",Eva!G32)</f>
        <v/>
      </c>
      <c r="H32" s="25">
        <f>IF(Eva!H32="","",Eva!H32)</f>
        <v/>
      </c>
      <c r="I32" s="24">
        <f>IF(Eva!I32="","",Eva!I32)</f>
        <v/>
      </c>
      <c r="J32" s="25">
        <f>IF(Eva!J32="","",Eva!J32)</f>
        <v/>
      </c>
      <c r="K32" s="25">
        <f>IF(Eva!K32="","",Eva!K32)</f>
        <v/>
      </c>
      <c r="L32" s="24">
        <f>IF(Eva!L32="","",Eva!L32)</f>
        <v/>
      </c>
      <c r="M32" s="25">
        <f>IF(Eva!M32="","",Eva!M32)</f>
        <v/>
      </c>
      <c r="N32" s="25">
        <f>IF(Eva!N32="","",Eva!N32)</f>
        <v/>
      </c>
      <c r="O32" s="24">
        <f>IF(Eva!O32="","",Eva!O32)</f>
        <v/>
      </c>
      <c r="P32" s="25">
        <f>IF(Eva!P32="","",Eva!P32)</f>
        <v/>
      </c>
      <c r="Q32" s="25">
        <f>IF(Eva!Q32="","",Eva!Q32)</f>
        <v/>
      </c>
      <c r="R32" s="24">
        <f>IF(Eva!R32="","",Eva!R32)</f>
        <v/>
      </c>
      <c r="S32" s="25">
        <f>IF(Eva!S32="","",Eva!S32)</f>
        <v/>
      </c>
      <c r="T32" s="25">
        <f>IF(Eva!T32="","",Eva!T32)</f>
        <v/>
      </c>
      <c r="U32" s="24">
        <f>IF(Eva!U32="","",Eva!U32)</f>
        <v/>
      </c>
      <c r="V32" s="25">
        <f>IF(Eva!V32="","",Eva!V32)</f>
        <v/>
      </c>
      <c r="W32" s="25">
        <f>IF(Eva!W32="","",Eva!W32)</f>
        <v/>
      </c>
      <c r="X32" s="24">
        <f>IF(Eva!X32="","",Eva!X32)</f>
        <v/>
      </c>
      <c r="Y32" s="25">
        <f>IF(Eva!Y32="","",Eva!Y32)</f>
        <v/>
      </c>
      <c r="Z32" s="25">
        <f>IF(Eva!Z32="","",Eva!Z32)</f>
        <v/>
      </c>
      <c r="AA32" s="26">
        <f>IF(Eva!AA32="","",Eva!AA32)</f>
        <v/>
      </c>
      <c r="AB32" s="25">
        <f>IF(Eva!AB32="","",Eva!AB32)</f>
        <v/>
      </c>
      <c r="AC32" s="25">
        <f>IF(Eva!AC32="","",Eva!AC32)</f>
        <v/>
      </c>
      <c r="AD32" s="24">
        <f>IF(Eva!AD32="","",Eva!AD32)</f>
        <v/>
      </c>
      <c r="AE32" s="25">
        <f>IF(Eva!AE32="","",Eva!AE32)</f>
        <v/>
      </c>
      <c r="AF32" s="25">
        <f>IF(Eva!AF32="","",Eva!AF32)</f>
        <v/>
      </c>
      <c r="AG32" s="24">
        <f>IF(Eva!AG32="","",Eva!AG32)</f>
        <v/>
      </c>
      <c r="AH32" s="25">
        <f>IF(Eva!AH32="","",Eva!AH32)</f>
        <v/>
      </c>
      <c r="AI32" s="25">
        <f>IF(Eva!AI32="","",Eva!AI32)</f>
        <v/>
      </c>
      <c r="AJ32" s="24">
        <f>IF(Eva!AJ32="","",Eva!AJ32)</f>
        <v/>
      </c>
      <c r="AK32" s="25">
        <f>IF(Eva!AK32="","",Eva!AK32)</f>
        <v/>
      </c>
      <c r="AL32" s="25">
        <f>IF(Eva!AL32="","",Eva!AL32)</f>
        <v/>
      </c>
      <c r="AM32" s="24">
        <f>IF(Eva!AM32="","",Eva!AM32)</f>
        <v/>
      </c>
      <c r="AN32" s="25">
        <f>IF(Eva!AN32="","",Eva!AN32)</f>
        <v/>
      </c>
      <c r="AO32" s="25">
        <f>IF(Eva!AO32="","",Eva!AO32)</f>
        <v/>
      </c>
      <c r="AP32" s="24">
        <f>IF(Eva!AP32="","",Eva!AP32)</f>
        <v/>
      </c>
      <c r="AQ32" s="25">
        <f>IF(Eva!AQ32="","",Eva!AQ32)</f>
        <v/>
      </c>
      <c r="AR32" s="25">
        <f>IF(Eva!AR32="","",Eva!AR32)</f>
        <v/>
      </c>
      <c r="AS32" s="24">
        <f>IF(Eva!AS32="","",Eva!AS32)</f>
        <v/>
      </c>
      <c r="AT32" s="25">
        <f>IF(Eva!AT32="","",Eva!AT32)</f>
        <v/>
      </c>
      <c r="AU32" s="25">
        <f>IF(Eva!AU32="","",Eva!AU32)</f>
        <v/>
      </c>
      <c r="AV32" s="24">
        <f>IF(Eva!AV32="","",Eva!AV32)</f>
        <v/>
      </c>
      <c r="AW32" s="25">
        <f>IF(Eva!AW32="","",Eva!AW32)</f>
        <v/>
      </c>
      <c r="AX32" s="25">
        <f>IF(Eva!AX32="","",Eva!AX32)</f>
        <v/>
      </c>
      <c r="AY32" s="27" t="inlineStr">
        <is>
          <t>PLAQUE</t>
        </is>
      </c>
    </row>
    <row r="33" ht="21" customHeight="1">
      <c r="A33" s="22" t="n"/>
      <c r="B33" s="23" t="inlineStr">
        <is>
          <t>BOP</t>
        </is>
      </c>
      <c r="C33" s="24">
        <f>IF(Eva!C33="","",Eva!C33)</f>
        <v/>
      </c>
      <c r="D33" s="25">
        <f>IF(Eva!D33="","",Eva!D33)</f>
        <v/>
      </c>
      <c r="E33" s="25">
        <f>IF(Eva!E33="","",Eva!E33)</f>
        <v/>
      </c>
      <c r="F33" s="24">
        <f>IF(Eva!F33="","",Eva!F33)</f>
        <v/>
      </c>
      <c r="G33" s="25">
        <f>IF(Eva!G33="","",Eva!G33)</f>
        <v/>
      </c>
      <c r="H33" s="25">
        <f>IF(Eva!H33="","",Eva!H33)</f>
        <v/>
      </c>
      <c r="I33" s="24">
        <f>IF(Eva!I33="","",Eva!I33)</f>
        <v/>
      </c>
      <c r="J33" s="25">
        <f>IF(Eva!J33="","",Eva!J33)</f>
        <v/>
      </c>
      <c r="K33" s="25">
        <f>IF(Eva!K33="","",Eva!K33)</f>
        <v/>
      </c>
      <c r="L33" s="24">
        <f>IF(Eva!L33="","",Eva!L33)</f>
        <v/>
      </c>
      <c r="M33" s="25">
        <f>IF(Eva!M33="","",Eva!M33)</f>
        <v/>
      </c>
      <c r="N33" s="25">
        <f>IF(Eva!N33="","",Eva!N33)</f>
        <v/>
      </c>
      <c r="O33" s="24">
        <f>IF(Eva!O33="","",Eva!O33)</f>
        <v/>
      </c>
      <c r="P33" s="25">
        <f>IF(Eva!P33="","",Eva!P33)</f>
        <v/>
      </c>
      <c r="Q33" s="25">
        <f>IF(Eva!Q33="","",Eva!Q33)</f>
        <v/>
      </c>
      <c r="R33" s="24">
        <f>IF(Eva!R33="","",Eva!R33)</f>
        <v/>
      </c>
      <c r="S33" s="25">
        <f>IF(Eva!S33="","",Eva!S33)</f>
        <v/>
      </c>
      <c r="T33" s="25">
        <f>IF(Eva!T33="","",Eva!T33)</f>
        <v/>
      </c>
      <c r="U33" s="24">
        <f>IF(Eva!U33="","",Eva!U33)</f>
        <v/>
      </c>
      <c r="V33" s="25">
        <f>IF(Eva!V33="","",Eva!V33)</f>
        <v/>
      </c>
      <c r="W33" s="25">
        <f>IF(Eva!W33="","",Eva!W33)</f>
        <v/>
      </c>
      <c r="X33" s="24">
        <f>IF(Eva!X33="","",Eva!X33)</f>
        <v/>
      </c>
      <c r="Y33" s="25">
        <f>IF(Eva!Y33="","",Eva!Y33)</f>
        <v/>
      </c>
      <c r="Z33" s="25">
        <f>IF(Eva!Z33="","",Eva!Z33)</f>
        <v/>
      </c>
      <c r="AA33" s="26">
        <f>IF(Eva!AA33="","",Eva!AA33)</f>
        <v/>
      </c>
      <c r="AB33" s="25">
        <f>IF(Eva!AB33="","",Eva!AB33)</f>
        <v/>
      </c>
      <c r="AC33" s="25">
        <f>IF(Eva!AC33="","",Eva!AC33)</f>
        <v/>
      </c>
      <c r="AD33" s="24">
        <f>IF(Eva!AD33="","",Eva!AD33)</f>
        <v/>
      </c>
      <c r="AE33" s="25">
        <f>IF(Eva!AE33="","",Eva!AE33)</f>
        <v/>
      </c>
      <c r="AF33" s="25">
        <f>IF(Eva!AF33="","",Eva!AF33)</f>
        <v/>
      </c>
      <c r="AG33" s="24">
        <f>IF(Eva!AG33="","",Eva!AG33)</f>
        <v/>
      </c>
      <c r="AH33" s="25">
        <f>IF(Eva!AH33="","",Eva!AH33)</f>
        <v/>
      </c>
      <c r="AI33" s="25">
        <f>IF(Eva!AI33="","",Eva!AI33)</f>
        <v/>
      </c>
      <c r="AJ33" s="24">
        <f>IF(Eva!AJ33="","",Eva!AJ33)</f>
        <v/>
      </c>
      <c r="AK33" s="25">
        <f>IF(Eva!AK33="","",Eva!AK33)</f>
        <v/>
      </c>
      <c r="AL33" s="25">
        <f>IF(Eva!AL33="","",Eva!AL33)</f>
        <v/>
      </c>
      <c r="AM33" s="24">
        <f>IF(Eva!AM33="","",Eva!AM33)</f>
        <v/>
      </c>
      <c r="AN33" s="25">
        <f>IF(Eva!AN33="","",Eva!AN33)</f>
        <v/>
      </c>
      <c r="AO33" s="25">
        <f>IF(Eva!AO33="","",Eva!AO33)</f>
        <v/>
      </c>
      <c r="AP33" s="24">
        <f>IF(Eva!AP33="","",Eva!AP33)</f>
        <v/>
      </c>
      <c r="AQ33" s="25">
        <f>IF(Eva!AQ33="","",Eva!AQ33)</f>
        <v/>
      </c>
      <c r="AR33" s="25">
        <f>IF(Eva!AR33="","",Eva!AR33)</f>
        <v/>
      </c>
      <c r="AS33" s="24">
        <f>IF(Eva!AS33="","",Eva!AS33)</f>
        <v/>
      </c>
      <c r="AT33" s="25">
        <f>IF(Eva!AT33="","",Eva!AT33)</f>
        <v/>
      </c>
      <c r="AU33" s="25">
        <f>IF(Eva!AU33="","",Eva!AU33)</f>
        <v/>
      </c>
      <c r="AV33" s="24">
        <f>IF(Eva!AV33="","",Eva!AV33)</f>
        <v/>
      </c>
      <c r="AW33" s="25">
        <f>IF(Eva!AW33="","",Eva!AW33)</f>
        <v/>
      </c>
      <c r="AX33" s="25">
        <f>IF(Eva!AX33="","",Eva!AX33)</f>
        <v/>
      </c>
      <c r="AY33" s="27" t="inlineStr">
        <is>
          <t>BOP</t>
        </is>
      </c>
    </row>
    <row r="34" ht="21" customHeight="1">
      <c r="A34" s="22" t="n"/>
      <c r="B34" s="23" t="inlineStr">
        <is>
          <t>CEJ-GM</t>
        </is>
      </c>
      <c r="C34" s="79">
        <f>IF(OR(Eva!C34="",'Pre-Tx'!C34=""),"",Eva!C34-'Pre-Tx'!C34)</f>
        <v/>
      </c>
      <c r="D34" s="80">
        <f>IF(OR(Eva!D34="",'Pre-Tx'!D34=""),"",Eva!D34-'Pre-Tx'!D34)</f>
        <v/>
      </c>
      <c r="E34" s="80">
        <f>IF(OR(Eva!E34="",'Pre-Tx'!E34=""),"",Eva!E34-'Pre-Tx'!E34)</f>
        <v/>
      </c>
      <c r="F34" s="79">
        <f>IF(OR(Eva!F34="",'Pre-Tx'!F34=""),"",Eva!F34-'Pre-Tx'!F34)</f>
        <v/>
      </c>
      <c r="G34" s="80">
        <f>IF(OR(Eva!G34="",'Pre-Tx'!G34=""),"",Eva!G34-'Pre-Tx'!G34)</f>
        <v/>
      </c>
      <c r="H34" s="80">
        <f>IF(OR(Eva!H34="",'Pre-Tx'!H34=""),"",Eva!H34-'Pre-Tx'!H34)</f>
        <v/>
      </c>
      <c r="I34" s="79">
        <f>IF(OR(Eva!I34="",'Pre-Tx'!I34=""),"",Eva!I34-'Pre-Tx'!I34)</f>
        <v/>
      </c>
      <c r="J34" s="80">
        <f>IF(OR(Eva!J34="",'Pre-Tx'!J34=""),"",Eva!J34-'Pre-Tx'!J34)</f>
        <v/>
      </c>
      <c r="K34" s="80">
        <f>IF(OR(Eva!K34="",'Pre-Tx'!K34=""),"",Eva!K34-'Pre-Tx'!K34)</f>
        <v/>
      </c>
      <c r="L34" s="79">
        <f>IF(OR(Eva!L34="",'Pre-Tx'!L34=""),"",Eva!L34-'Pre-Tx'!L34)</f>
        <v/>
      </c>
      <c r="M34" s="80">
        <f>IF(OR(Eva!M34="",'Pre-Tx'!M34=""),"",Eva!M34-'Pre-Tx'!M34)</f>
        <v/>
      </c>
      <c r="N34" s="80">
        <f>IF(OR(Eva!N34="",'Pre-Tx'!N34=""),"",Eva!N34-'Pre-Tx'!N34)</f>
        <v/>
      </c>
      <c r="O34" s="79">
        <f>IF(OR(Eva!O34="",'Pre-Tx'!O34=""),"",Eva!O34-'Pre-Tx'!O34)</f>
        <v/>
      </c>
      <c r="P34" s="80">
        <f>IF(OR(Eva!P34="",'Pre-Tx'!P34=""),"",Eva!P34-'Pre-Tx'!P34)</f>
        <v/>
      </c>
      <c r="Q34" s="80">
        <f>IF(OR(Eva!Q34="",'Pre-Tx'!Q34=""),"",Eva!Q34-'Pre-Tx'!Q34)</f>
        <v/>
      </c>
      <c r="R34" s="79">
        <f>IF(OR(Eva!R34="",'Pre-Tx'!R34=""),"",Eva!R34-'Pre-Tx'!R34)</f>
        <v/>
      </c>
      <c r="S34" s="80">
        <f>IF(OR(Eva!S34="",'Pre-Tx'!S34=""),"",Eva!S34-'Pre-Tx'!S34)</f>
        <v/>
      </c>
      <c r="T34" s="80">
        <f>IF(OR(Eva!T34="",'Pre-Tx'!T34=""),"",Eva!T34-'Pre-Tx'!T34)</f>
        <v/>
      </c>
      <c r="U34" s="79">
        <f>IF(OR(Eva!U34="",'Pre-Tx'!U34=""),"",Eva!U34-'Pre-Tx'!U34)</f>
        <v/>
      </c>
      <c r="V34" s="80">
        <f>IF(OR(Eva!V34="",'Pre-Tx'!V34=""),"",Eva!V34-'Pre-Tx'!V34)</f>
        <v/>
      </c>
      <c r="W34" s="80">
        <f>IF(OR(Eva!W34="",'Pre-Tx'!W34=""),"",Eva!W34-'Pre-Tx'!W34)</f>
        <v/>
      </c>
      <c r="X34" s="79">
        <f>IF(OR(Eva!X34="",'Pre-Tx'!X34=""),"",Eva!X34-'Pre-Tx'!X34)</f>
        <v/>
      </c>
      <c r="Y34" s="80">
        <f>IF(OR(Eva!Y34="",'Pre-Tx'!Y34=""),"",Eva!Y34-'Pre-Tx'!Y34)</f>
        <v/>
      </c>
      <c r="Z34" s="80">
        <f>IF(OR(Eva!Z34="",'Pre-Tx'!Z34=""),"",Eva!Z34-'Pre-Tx'!Z34)</f>
        <v/>
      </c>
      <c r="AA34" s="81">
        <f>IF(OR(Eva!AA34="",'Pre-Tx'!AA34=""),"",Eva!AA34-'Pre-Tx'!AA34)</f>
        <v/>
      </c>
      <c r="AB34" s="80">
        <f>IF(OR(Eva!AB34="",'Pre-Tx'!AB34=""),"",Eva!AB34-'Pre-Tx'!AB34)</f>
        <v/>
      </c>
      <c r="AC34" s="80">
        <f>IF(OR(Eva!AC34="",'Pre-Tx'!AC34=""),"",Eva!AC34-'Pre-Tx'!AC34)</f>
        <v/>
      </c>
      <c r="AD34" s="79">
        <f>IF(OR(Eva!AD34="",'Pre-Tx'!AD34=""),"",Eva!AD34-'Pre-Tx'!AD34)</f>
        <v/>
      </c>
      <c r="AE34" s="80">
        <f>IF(OR(Eva!AE34="",'Pre-Tx'!AE34=""),"",Eva!AE34-'Pre-Tx'!AE34)</f>
        <v/>
      </c>
      <c r="AF34" s="80">
        <f>IF(OR(Eva!AF34="",'Pre-Tx'!AF34=""),"",Eva!AF34-'Pre-Tx'!AF34)</f>
        <v/>
      </c>
      <c r="AG34" s="79">
        <f>IF(OR(Eva!AG34="",'Pre-Tx'!AG34=""),"",Eva!AG34-'Pre-Tx'!AG34)</f>
        <v/>
      </c>
      <c r="AH34" s="80">
        <f>IF(OR(Eva!AH34="",'Pre-Tx'!AH34=""),"",Eva!AH34-'Pre-Tx'!AH34)</f>
        <v/>
      </c>
      <c r="AI34" s="80">
        <f>IF(OR(Eva!AI34="",'Pre-Tx'!AI34=""),"",Eva!AI34-'Pre-Tx'!AI34)</f>
        <v/>
      </c>
      <c r="AJ34" s="79">
        <f>IF(OR(Eva!AJ34="",'Pre-Tx'!AJ34=""),"",Eva!AJ34-'Pre-Tx'!AJ34)</f>
        <v/>
      </c>
      <c r="AK34" s="80">
        <f>IF(OR(Eva!AK34="",'Pre-Tx'!AK34=""),"",Eva!AK34-'Pre-Tx'!AK34)</f>
        <v/>
      </c>
      <c r="AL34" s="80">
        <f>IF(OR(Eva!AL34="",'Pre-Tx'!AL34=""),"",Eva!AL34-'Pre-Tx'!AL34)</f>
        <v/>
      </c>
      <c r="AM34" s="79">
        <f>IF(OR(Eva!AM34="",'Pre-Tx'!AM34=""),"",Eva!AM34-'Pre-Tx'!AM34)</f>
        <v/>
      </c>
      <c r="AN34" s="80">
        <f>IF(OR(Eva!AN34="",'Pre-Tx'!AN34=""),"",Eva!AN34-'Pre-Tx'!AN34)</f>
        <v/>
      </c>
      <c r="AO34" s="80">
        <f>IF(OR(Eva!AO34="",'Pre-Tx'!AO34=""),"",Eva!AO34-'Pre-Tx'!AO34)</f>
        <v/>
      </c>
      <c r="AP34" s="79">
        <f>IF(OR(Eva!AP34="",'Pre-Tx'!AP34=""),"",Eva!AP34-'Pre-Tx'!AP34)</f>
        <v/>
      </c>
      <c r="AQ34" s="80">
        <f>IF(OR(Eva!AQ34="",'Pre-Tx'!AQ34=""),"",Eva!AQ34-'Pre-Tx'!AQ34)</f>
        <v/>
      </c>
      <c r="AR34" s="80">
        <f>IF(OR(Eva!AR34="",'Pre-Tx'!AR34=""),"",Eva!AR34-'Pre-Tx'!AR34)</f>
        <v/>
      </c>
      <c r="AS34" s="79">
        <f>IF(OR(Eva!AS34="",'Pre-Tx'!AS34=""),"",Eva!AS34-'Pre-Tx'!AS34)</f>
        <v/>
      </c>
      <c r="AT34" s="80">
        <f>IF(OR(Eva!AT34="",'Pre-Tx'!AT34=""),"",Eva!AT34-'Pre-Tx'!AT34)</f>
        <v/>
      </c>
      <c r="AU34" s="80">
        <f>IF(OR(Eva!AU34="",'Pre-Tx'!AU34=""),"",Eva!AU34-'Pre-Tx'!AU34)</f>
        <v/>
      </c>
      <c r="AV34" s="79">
        <f>IF(OR(Eva!AV34="",'Pre-Tx'!AV34=""),"",Eva!AV34-'Pre-Tx'!AV34)</f>
        <v/>
      </c>
      <c r="AW34" s="80">
        <f>IF(OR(Eva!AW34="",'Pre-Tx'!AW34=""),"",Eva!AW34-'Pre-Tx'!AW34)</f>
        <v/>
      </c>
      <c r="AX34" s="80">
        <f>IF(OR(Eva!AX34="",'Pre-Tx'!AX34=""),"",Eva!AX34-'Pre-Tx'!AX34)</f>
        <v/>
      </c>
      <c r="AY34" s="27" t="inlineStr">
        <is>
          <t>CEJ-GM</t>
        </is>
      </c>
    </row>
    <row r="35" ht="21" customHeight="1">
      <c r="A35" s="22" t="n"/>
      <c r="B35" s="23" t="inlineStr">
        <is>
          <t>PD</t>
        </is>
      </c>
      <c r="C35" s="82">
        <f>IF(OR(Eva!C35="",'Pre-Tx'!C35=""),"",Eva!C35-'Pre-Tx'!C35)</f>
        <v/>
      </c>
      <c r="D35" s="83">
        <f>IF(OR(Eva!D35="",'Pre-Tx'!D35=""),"",Eva!D35-'Pre-Tx'!D35)</f>
        <v/>
      </c>
      <c r="E35" s="83">
        <f>IF(OR(Eva!E35="",'Pre-Tx'!E35=""),"",Eva!E35-'Pre-Tx'!E35)</f>
        <v/>
      </c>
      <c r="F35" s="82">
        <f>IF(OR(Eva!F35="",'Pre-Tx'!F35=""),"",Eva!F35-'Pre-Tx'!F35)</f>
        <v/>
      </c>
      <c r="G35" s="83">
        <f>IF(OR(Eva!G35="",'Pre-Tx'!G35=""),"",Eva!G35-'Pre-Tx'!G35)</f>
        <v/>
      </c>
      <c r="H35" s="83">
        <f>IF(OR(Eva!H35="",'Pre-Tx'!H35=""),"",Eva!H35-'Pre-Tx'!H35)</f>
        <v/>
      </c>
      <c r="I35" s="82">
        <f>IF(OR(Eva!I35="",'Pre-Tx'!I35=""),"",Eva!I35-'Pre-Tx'!I35)</f>
        <v/>
      </c>
      <c r="J35" s="83">
        <f>IF(OR(Eva!J35="",'Pre-Tx'!J35=""),"",Eva!J35-'Pre-Tx'!J35)</f>
        <v/>
      </c>
      <c r="K35" s="83">
        <f>IF(OR(Eva!K35="",'Pre-Tx'!K35=""),"",Eva!K35-'Pre-Tx'!K35)</f>
        <v/>
      </c>
      <c r="L35" s="82">
        <f>IF(OR(Eva!L35="",'Pre-Tx'!L35=""),"",Eva!L35-'Pre-Tx'!L35)</f>
        <v/>
      </c>
      <c r="M35" s="83">
        <f>IF(OR(Eva!M35="",'Pre-Tx'!M35=""),"",Eva!M35-'Pre-Tx'!M35)</f>
        <v/>
      </c>
      <c r="N35" s="83">
        <f>IF(OR(Eva!N35="",'Pre-Tx'!N35=""),"",Eva!N35-'Pre-Tx'!N35)</f>
        <v/>
      </c>
      <c r="O35" s="82">
        <f>IF(OR(Eva!O35="",'Pre-Tx'!O35=""),"",Eva!O35-'Pre-Tx'!O35)</f>
        <v/>
      </c>
      <c r="P35" s="83">
        <f>IF(OR(Eva!P35="",'Pre-Tx'!P35=""),"",Eva!P35-'Pre-Tx'!P35)</f>
        <v/>
      </c>
      <c r="Q35" s="83">
        <f>IF(OR(Eva!Q35="",'Pre-Tx'!Q35=""),"",Eva!Q35-'Pre-Tx'!Q35)</f>
        <v/>
      </c>
      <c r="R35" s="82">
        <f>IF(OR(Eva!R35="",'Pre-Tx'!R35=""),"",Eva!R35-'Pre-Tx'!R35)</f>
        <v/>
      </c>
      <c r="S35" s="83">
        <f>IF(OR(Eva!S35="",'Pre-Tx'!S35=""),"",Eva!S35-'Pre-Tx'!S35)</f>
        <v/>
      </c>
      <c r="T35" s="83">
        <f>IF(OR(Eva!T35="",'Pre-Tx'!T35=""),"",Eva!T35-'Pre-Tx'!T35)</f>
        <v/>
      </c>
      <c r="U35" s="82">
        <f>IF(OR(Eva!U35="",'Pre-Tx'!U35=""),"",Eva!U35-'Pre-Tx'!U35)</f>
        <v/>
      </c>
      <c r="V35" s="83">
        <f>IF(OR(Eva!V35="",'Pre-Tx'!V35=""),"",Eva!V35-'Pre-Tx'!V35)</f>
        <v/>
      </c>
      <c r="W35" s="83">
        <f>IF(OR(Eva!W35="",'Pre-Tx'!W35=""),"",Eva!W35-'Pre-Tx'!W35)</f>
        <v/>
      </c>
      <c r="X35" s="82">
        <f>IF(OR(Eva!X35="",'Pre-Tx'!X35=""),"",Eva!X35-'Pre-Tx'!X35)</f>
        <v/>
      </c>
      <c r="Y35" s="83">
        <f>IF(OR(Eva!Y35="",'Pre-Tx'!Y35=""),"",Eva!Y35-'Pre-Tx'!Y35)</f>
        <v/>
      </c>
      <c r="Z35" s="83">
        <f>IF(OR(Eva!Z35="",'Pre-Tx'!Z35=""),"",Eva!Z35-'Pre-Tx'!Z35)</f>
        <v/>
      </c>
      <c r="AA35" s="84">
        <f>IF(OR(Eva!AA35="",'Pre-Tx'!AA35=""),"",Eva!AA35-'Pre-Tx'!AA35)</f>
        <v/>
      </c>
      <c r="AB35" s="83">
        <f>IF(OR(Eva!AB35="",'Pre-Tx'!AB35=""),"",Eva!AB35-'Pre-Tx'!AB35)</f>
        <v/>
      </c>
      <c r="AC35" s="83">
        <f>IF(OR(Eva!AC35="",'Pre-Tx'!AC35=""),"",Eva!AC35-'Pre-Tx'!AC35)</f>
        <v/>
      </c>
      <c r="AD35" s="82">
        <f>IF(OR(Eva!AD35="",'Pre-Tx'!AD35=""),"",Eva!AD35-'Pre-Tx'!AD35)</f>
        <v/>
      </c>
      <c r="AE35" s="83">
        <f>IF(OR(Eva!AE35="",'Pre-Tx'!AE35=""),"",Eva!AE35-'Pre-Tx'!AE35)</f>
        <v/>
      </c>
      <c r="AF35" s="83">
        <f>IF(OR(Eva!AF35="",'Pre-Tx'!AF35=""),"",Eva!AF35-'Pre-Tx'!AF35)</f>
        <v/>
      </c>
      <c r="AG35" s="82">
        <f>IF(OR(Eva!AG35="",'Pre-Tx'!AG35=""),"",Eva!AG35-'Pre-Tx'!AG35)</f>
        <v/>
      </c>
      <c r="AH35" s="83">
        <f>IF(OR(Eva!AH35="",'Pre-Tx'!AH35=""),"",Eva!AH35-'Pre-Tx'!AH35)</f>
        <v/>
      </c>
      <c r="AI35" s="83">
        <f>IF(OR(Eva!AI35="",'Pre-Tx'!AI35=""),"",Eva!AI35-'Pre-Tx'!AI35)</f>
        <v/>
      </c>
      <c r="AJ35" s="82">
        <f>IF(OR(Eva!AJ35="",'Pre-Tx'!AJ35=""),"",Eva!AJ35-'Pre-Tx'!AJ35)</f>
        <v/>
      </c>
      <c r="AK35" s="83">
        <f>IF(OR(Eva!AK35="",'Pre-Tx'!AK35=""),"",Eva!AK35-'Pre-Tx'!AK35)</f>
        <v/>
      </c>
      <c r="AL35" s="83">
        <f>IF(OR(Eva!AL35="",'Pre-Tx'!AL35=""),"",Eva!AL35-'Pre-Tx'!AL35)</f>
        <v/>
      </c>
      <c r="AM35" s="82">
        <f>IF(OR(Eva!AM35="",'Pre-Tx'!AM35=""),"",Eva!AM35-'Pre-Tx'!AM35)</f>
        <v/>
      </c>
      <c r="AN35" s="83">
        <f>IF(OR(Eva!AN35="",'Pre-Tx'!AN35=""),"",Eva!AN35-'Pre-Tx'!AN35)</f>
        <v/>
      </c>
      <c r="AO35" s="83">
        <f>IF(OR(Eva!AO35="",'Pre-Tx'!AO35=""),"",Eva!AO35-'Pre-Tx'!AO35)</f>
        <v/>
      </c>
      <c r="AP35" s="82">
        <f>IF(OR(Eva!AP35="",'Pre-Tx'!AP35=""),"",Eva!AP35-'Pre-Tx'!AP35)</f>
        <v/>
      </c>
      <c r="AQ35" s="83">
        <f>IF(OR(Eva!AQ35="",'Pre-Tx'!AQ35=""),"",Eva!AQ35-'Pre-Tx'!AQ35)</f>
        <v/>
      </c>
      <c r="AR35" s="83">
        <f>IF(OR(Eva!AR35="",'Pre-Tx'!AR35=""),"",Eva!AR35-'Pre-Tx'!AR35)</f>
        <v/>
      </c>
      <c r="AS35" s="82">
        <f>IF(OR(Eva!AS35="",'Pre-Tx'!AS35=""),"",Eva!AS35-'Pre-Tx'!AS35)</f>
        <v/>
      </c>
      <c r="AT35" s="83">
        <f>IF(OR(Eva!AT35="",'Pre-Tx'!AT35=""),"",Eva!AT35-'Pre-Tx'!AT35)</f>
        <v/>
      </c>
      <c r="AU35" s="83">
        <f>IF(OR(Eva!AU35="",'Pre-Tx'!AU35=""),"",Eva!AU35-'Pre-Tx'!AU35)</f>
        <v/>
      </c>
      <c r="AV35" s="82">
        <f>IF(OR(Eva!AV35="",'Pre-Tx'!AV35=""),"",Eva!AV35-'Pre-Tx'!AV35)</f>
        <v/>
      </c>
      <c r="AW35" s="83">
        <f>IF(OR(Eva!AW35="",'Pre-Tx'!AW35=""),"",Eva!AW35-'Pre-Tx'!AW35)</f>
        <v/>
      </c>
      <c r="AX35" s="83">
        <f>IF(OR(Eva!AX35="",'Pre-Tx'!AX35=""),"",Eva!AX35-'Pre-Tx'!AX35)</f>
        <v/>
      </c>
      <c r="AY35" s="27" t="inlineStr">
        <is>
          <t>PD</t>
        </is>
      </c>
    </row>
    <row r="36" ht="19" customHeight="1">
      <c r="A36" s="34" t="n"/>
      <c r="B36" s="35" t="inlineStr">
        <is>
          <t>CAL</t>
        </is>
      </c>
      <c r="C36" s="85">
        <f>IF(OR(Eva!C36="",'Pre-Tx'!C36=""),"",Eva!C36-'Pre-Tx'!C36)</f>
        <v/>
      </c>
      <c r="D36" s="86">
        <f>IF(OR(Eva!D36="",'Pre-Tx'!D36=""),"",Eva!D36-'Pre-Tx'!D36)</f>
        <v/>
      </c>
      <c r="E36" s="86">
        <f>IF(OR(Eva!E36="",'Pre-Tx'!E36=""),"",Eva!E36-'Pre-Tx'!E36)</f>
        <v/>
      </c>
      <c r="F36" s="85">
        <f>IF(OR(Eva!F36="",'Pre-Tx'!F36=""),"",Eva!F36-'Pre-Tx'!F36)</f>
        <v/>
      </c>
      <c r="G36" s="86">
        <f>IF(OR(Eva!G36="",'Pre-Tx'!G36=""),"",Eva!G36-'Pre-Tx'!G36)</f>
        <v/>
      </c>
      <c r="H36" s="86">
        <f>IF(OR(Eva!H36="",'Pre-Tx'!H36=""),"",Eva!H36-'Pre-Tx'!H36)</f>
        <v/>
      </c>
      <c r="I36" s="85">
        <f>IF(OR(Eva!I36="",'Pre-Tx'!I36=""),"",Eva!I36-'Pre-Tx'!I36)</f>
        <v/>
      </c>
      <c r="J36" s="86">
        <f>IF(OR(Eva!J36="",'Pre-Tx'!J36=""),"",Eva!J36-'Pre-Tx'!J36)</f>
        <v/>
      </c>
      <c r="K36" s="86">
        <f>IF(OR(Eva!K36="",'Pre-Tx'!K36=""),"",Eva!K36-'Pre-Tx'!K36)</f>
        <v/>
      </c>
      <c r="L36" s="85">
        <f>IF(OR(Eva!L36="",'Pre-Tx'!L36=""),"",Eva!L36-'Pre-Tx'!L36)</f>
        <v/>
      </c>
      <c r="M36" s="86">
        <f>IF(OR(Eva!M36="",'Pre-Tx'!M36=""),"",Eva!M36-'Pre-Tx'!M36)</f>
        <v/>
      </c>
      <c r="N36" s="86">
        <f>IF(OR(Eva!N36="",'Pre-Tx'!N36=""),"",Eva!N36-'Pre-Tx'!N36)</f>
        <v/>
      </c>
      <c r="O36" s="85">
        <f>IF(OR(Eva!O36="",'Pre-Tx'!O36=""),"",Eva!O36-'Pre-Tx'!O36)</f>
        <v/>
      </c>
      <c r="P36" s="86">
        <f>IF(OR(Eva!P36="",'Pre-Tx'!P36=""),"",Eva!P36-'Pre-Tx'!P36)</f>
        <v/>
      </c>
      <c r="Q36" s="86">
        <f>IF(OR(Eva!Q36="",'Pre-Tx'!Q36=""),"",Eva!Q36-'Pre-Tx'!Q36)</f>
        <v/>
      </c>
      <c r="R36" s="85">
        <f>IF(OR(Eva!R36="",'Pre-Tx'!R36=""),"",Eva!R36-'Pre-Tx'!R36)</f>
        <v/>
      </c>
      <c r="S36" s="86">
        <f>IF(OR(Eva!S36="",'Pre-Tx'!S36=""),"",Eva!S36-'Pre-Tx'!S36)</f>
        <v/>
      </c>
      <c r="T36" s="86">
        <f>IF(OR(Eva!T36="",'Pre-Tx'!T36=""),"",Eva!T36-'Pre-Tx'!T36)</f>
        <v/>
      </c>
      <c r="U36" s="85">
        <f>IF(OR(Eva!U36="",'Pre-Tx'!U36=""),"",Eva!U36-'Pre-Tx'!U36)</f>
        <v/>
      </c>
      <c r="V36" s="86">
        <f>IF(OR(Eva!V36="",'Pre-Tx'!V36=""),"",Eva!V36-'Pre-Tx'!V36)</f>
        <v/>
      </c>
      <c r="W36" s="86">
        <f>IF(OR(Eva!W36="",'Pre-Tx'!W36=""),"",Eva!W36-'Pre-Tx'!W36)</f>
        <v/>
      </c>
      <c r="X36" s="85">
        <f>IF(OR(Eva!X36="",'Pre-Tx'!X36=""),"",Eva!X36-'Pre-Tx'!X36)</f>
        <v/>
      </c>
      <c r="Y36" s="86">
        <f>IF(OR(Eva!Y36="",'Pre-Tx'!Y36=""),"",Eva!Y36-'Pre-Tx'!Y36)</f>
        <v/>
      </c>
      <c r="Z36" s="86">
        <f>IF(OR(Eva!Z36="",'Pre-Tx'!Z36=""),"",Eva!Z36-'Pre-Tx'!Z36)</f>
        <v/>
      </c>
      <c r="AA36" s="87">
        <f>IF(OR(Eva!AA36="",'Pre-Tx'!AA36=""),"",Eva!AA36-'Pre-Tx'!AA36)</f>
        <v/>
      </c>
      <c r="AB36" s="86">
        <f>IF(OR(Eva!AB36="",'Pre-Tx'!AB36=""),"",Eva!AB36-'Pre-Tx'!AB36)</f>
        <v/>
      </c>
      <c r="AC36" s="86">
        <f>IF(OR(Eva!AC36="",'Pre-Tx'!AC36=""),"",Eva!AC36-'Pre-Tx'!AC36)</f>
        <v/>
      </c>
      <c r="AD36" s="85">
        <f>IF(OR(Eva!AD36="",'Pre-Tx'!AD36=""),"",Eva!AD36-'Pre-Tx'!AD36)</f>
        <v/>
      </c>
      <c r="AE36" s="86">
        <f>IF(OR(Eva!AE36="",'Pre-Tx'!AE36=""),"",Eva!AE36-'Pre-Tx'!AE36)</f>
        <v/>
      </c>
      <c r="AF36" s="86">
        <f>IF(OR(Eva!AF36="",'Pre-Tx'!AF36=""),"",Eva!AF36-'Pre-Tx'!AF36)</f>
        <v/>
      </c>
      <c r="AG36" s="85">
        <f>IF(OR(Eva!AG36="",'Pre-Tx'!AG36=""),"",Eva!AG36-'Pre-Tx'!AG36)</f>
        <v/>
      </c>
      <c r="AH36" s="86">
        <f>IF(OR(Eva!AH36="",'Pre-Tx'!AH36=""),"",Eva!AH36-'Pre-Tx'!AH36)</f>
        <v/>
      </c>
      <c r="AI36" s="86">
        <f>IF(OR(Eva!AI36="",'Pre-Tx'!AI36=""),"",Eva!AI36-'Pre-Tx'!AI36)</f>
        <v/>
      </c>
      <c r="AJ36" s="85">
        <f>IF(OR(Eva!AJ36="",'Pre-Tx'!AJ36=""),"",Eva!AJ36-'Pre-Tx'!AJ36)</f>
        <v/>
      </c>
      <c r="AK36" s="86">
        <f>IF(OR(Eva!AK36="",'Pre-Tx'!AK36=""),"",Eva!AK36-'Pre-Tx'!AK36)</f>
        <v/>
      </c>
      <c r="AL36" s="86">
        <f>IF(OR(Eva!AL36="",'Pre-Tx'!AL36=""),"",Eva!AL36-'Pre-Tx'!AL36)</f>
        <v/>
      </c>
      <c r="AM36" s="85">
        <f>IF(OR(Eva!AM36="",'Pre-Tx'!AM36=""),"",Eva!AM36-'Pre-Tx'!AM36)</f>
        <v/>
      </c>
      <c r="AN36" s="86">
        <f>IF(OR(Eva!AN36="",'Pre-Tx'!AN36=""),"",Eva!AN36-'Pre-Tx'!AN36)</f>
        <v/>
      </c>
      <c r="AO36" s="86">
        <f>IF(OR(Eva!AO36="",'Pre-Tx'!AO36=""),"",Eva!AO36-'Pre-Tx'!AO36)</f>
        <v/>
      </c>
      <c r="AP36" s="85">
        <f>IF(OR(Eva!AP36="",'Pre-Tx'!AP36=""),"",Eva!AP36-'Pre-Tx'!AP36)</f>
        <v/>
      </c>
      <c r="AQ36" s="86">
        <f>IF(OR(Eva!AQ36="",'Pre-Tx'!AQ36=""),"",Eva!AQ36-'Pre-Tx'!AQ36)</f>
        <v/>
      </c>
      <c r="AR36" s="86">
        <f>IF(OR(Eva!AR36="",'Pre-Tx'!AR36=""),"",Eva!AR36-'Pre-Tx'!AR36)</f>
        <v/>
      </c>
      <c r="AS36" s="85">
        <f>IF(OR(Eva!AS36="",'Pre-Tx'!AS36=""),"",Eva!AS36-'Pre-Tx'!AS36)</f>
        <v/>
      </c>
      <c r="AT36" s="86">
        <f>IF(OR(Eva!AT36="",'Pre-Tx'!AT36=""),"",Eva!AT36-'Pre-Tx'!AT36)</f>
        <v/>
      </c>
      <c r="AU36" s="86">
        <f>IF(OR(Eva!AU36="",'Pre-Tx'!AU36=""),"",Eva!AU36-'Pre-Tx'!AU36)</f>
        <v/>
      </c>
      <c r="AV36" s="85">
        <f>IF(OR(Eva!AV36="",'Pre-Tx'!AV36=""),"",Eva!AV36-'Pre-Tx'!AV36)</f>
        <v/>
      </c>
      <c r="AW36" s="86">
        <f>IF(OR(Eva!AW36="",'Pre-Tx'!AW36=""),"",Eva!AW36-'Pre-Tx'!AW36)</f>
        <v/>
      </c>
      <c r="AX36" s="86">
        <f>IF(OR(Eva!AX36="",'Pre-Tx'!AX36=""),"",Eva!AX36-'Pre-Tx'!AX36)</f>
        <v/>
      </c>
      <c r="AY36" s="39" t="inlineStr">
        <is>
          <t>CAL</t>
        </is>
      </c>
    </row>
    <row r="37" ht="18.59" customHeight="1">
      <c r="A37" s="41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3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  <c r="AO37" s="42" t="n"/>
      <c r="AP37" s="42" t="n"/>
      <c r="AQ37" s="42" t="n"/>
      <c r="AR37" s="42" t="n"/>
      <c r="AS37" s="42" t="n"/>
      <c r="AT37" s="42" t="n"/>
      <c r="AU37" s="42" t="n"/>
      <c r="AV37" s="42" t="n"/>
      <c r="AW37" s="42" t="n"/>
      <c r="AX37" s="42" t="n"/>
      <c r="AY37" s="44" t="n"/>
    </row>
    <row r="38" ht="18.59" customHeight="1">
      <c r="A38" s="47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9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50" t="n"/>
    </row>
    <row r="39" ht="18.59" customHeight="1">
      <c r="A39" s="47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9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8" t="n"/>
      <c r="AP39" s="48" t="n"/>
      <c r="AQ39" s="48" t="n"/>
      <c r="AR39" s="48" t="n"/>
      <c r="AS39" s="48" t="n"/>
      <c r="AT39" s="48" t="n"/>
      <c r="AU39" s="48" t="n"/>
      <c r="AV39" s="48" t="n"/>
      <c r="AW39" s="48" t="n"/>
      <c r="AX39" s="48" t="n"/>
      <c r="AY39" s="50" t="n"/>
    </row>
    <row r="40" ht="18.59" customHeight="1">
      <c r="A40" s="47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9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48" t="n"/>
      <c r="AK40" s="48" t="n"/>
      <c r="AL40" s="48" t="n"/>
      <c r="AM40" s="48" t="n"/>
      <c r="AN40" s="48" t="n"/>
      <c r="AO40" s="48" t="n"/>
      <c r="AP40" s="48" t="n"/>
      <c r="AQ40" s="48" t="n"/>
      <c r="AR40" s="48" t="n"/>
      <c r="AS40" s="48" t="n"/>
      <c r="AT40" s="48" t="n"/>
      <c r="AU40" s="48" t="n"/>
      <c r="AV40" s="48" t="n"/>
      <c r="AW40" s="48" t="n"/>
      <c r="AX40" s="48" t="n"/>
      <c r="AY40" s="50" t="n"/>
    </row>
    <row r="41" ht="18.59" customHeight="1">
      <c r="A41" s="47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9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50" t="n"/>
    </row>
    <row r="42" ht="18.59" customHeight="1">
      <c r="A42" s="47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9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8" t="n"/>
      <c r="AP42" s="48" t="n"/>
      <c r="AQ42" s="48" t="n"/>
      <c r="AR42" s="48" t="n"/>
      <c r="AS42" s="48" t="n"/>
      <c r="AT42" s="48" t="n"/>
      <c r="AU42" s="48" t="n"/>
      <c r="AV42" s="48" t="n"/>
      <c r="AW42" s="48" t="n"/>
      <c r="AX42" s="48" t="n"/>
      <c r="AY42" s="50" t="n"/>
    </row>
    <row r="43" ht="18.59" customHeight="1">
      <c r="A43" s="51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3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4" t="n"/>
    </row>
    <row r="44" ht="19" customHeight="1">
      <c r="A44" s="55" t="inlineStr">
        <is>
          <t>BUCCAL</t>
        </is>
      </c>
      <c r="B44" s="56" t="inlineStr">
        <is>
          <t>CAL</t>
        </is>
      </c>
      <c r="C44" s="88">
        <f>IF(OR(Eva!C44="",'Pre-Tx'!C44=""),"",Eva!C44-'Pre-Tx'!C44)</f>
        <v/>
      </c>
      <c r="D44" s="89">
        <f>IF(OR(Eva!D44="",'Pre-Tx'!D44=""),"",Eva!D44-'Pre-Tx'!D44)</f>
        <v/>
      </c>
      <c r="E44" s="89">
        <f>IF(OR(Eva!E44="",'Pre-Tx'!E44=""),"",Eva!E44-'Pre-Tx'!E44)</f>
        <v/>
      </c>
      <c r="F44" s="88">
        <f>IF(OR(Eva!F44="",'Pre-Tx'!F44=""),"",Eva!F44-'Pre-Tx'!F44)</f>
        <v/>
      </c>
      <c r="G44" s="89">
        <f>IF(OR(Eva!G44="",'Pre-Tx'!G44=""),"",Eva!G44-'Pre-Tx'!G44)</f>
        <v/>
      </c>
      <c r="H44" s="89">
        <f>IF(OR(Eva!H44="",'Pre-Tx'!H44=""),"",Eva!H44-'Pre-Tx'!H44)</f>
        <v/>
      </c>
      <c r="I44" s="88">
        <f>IF(OR(Eva!I44="",'Pre-Tx'!I44=""),"",Eva!I44-'Pre-Tx'!I44)</f>
        <v/>
      </c>
      <c r="J44" s="89">
        <f>IF(OR(Eva!J44="",'Pre-Tx'!J44=""),"",Eva!J44-'Pre-Tx'!J44)</f>
        <v/>
      </c>
      <c r="K44" s="89">
        <f>IF(OR(Eva!K44="",'Pre-Tx'!K44=""),"",Eva!K44-'Pre-Tx'!K44)</f>
        <v/>
      </c>
      <c r="L44" s="88">
        <f>IF(OR(Eva!L44="",'Pre-Tx'!L44=""),"",Eva!L44-'Pre-Tx'!L44)</f>
        <v/>
      </c>
      <c r="M44" s="89">
        <f>IF(OR(Eva!M44="",'Pre-Tx'!M44=""),"",Eva!M44-'Pre-Tx'!M44)</f>
        <v/>
      </c>
      <c r="N44" s="89">
        <f>IF(OR(Eva!N44="",'Pre-Tx'!N44=""),"",Eva!N44-'Pre-Tx'!N44)</f>
        <v/>
      </c>
      <c r="O44" s="88">
        <f>IF(OR(Eva!O44="",'Pre-Tx'!O44=""),"",Eva!O44-'Pre-Tx'!O44)</f>
        <v/>
      </c>
      <c r="P44" s="89">
        <f>IF(OR(Eva!P44="",'Pre-Tx'!P44=""),"",Eva!P44-'Pre-Tx'!P44)</f>
        <v/>
      </c>
      <c r="Q44" s="89">
        <f>IF(OR(Eva!Q44="",'Pre-Tx'!Q44=""),"",Eva!Q44-'Pre-Tx'!Q44)</f>
        <v/>
      </c>
      <c r="R44" s="88">
        <f>IF(OR(Eva!R44="",'Pre-Tx'!R44=""),"",Eva!R44-'Pre-Tx'!R44)</f>
        <v/>
      </c>
      <c r="S44" s="89">
        <f>IF(OR(Eva!S44="",'Pre-Tx'!S44=""),"",Eva!S44-'Pre-Tx'!S44)</f>
        <v/>
      </c>
      <c r="T44" s="89">
        <f>IF(OR(Eva!T44="",'Pre-Tx'!T44=""),"",Eva!T44-'Pre-Tx'!T44)</f>
        <v/>
      </c>
      <c r="U44" s="88">
        <f>IF(OR(Eva!U44="",'Pre-Tx'!U44=""),"",Eva!U44-'Pre-Tx'!U44)</f>
        <v/>
      </c>
      <c r="V44" s="89">
        <f>IF(OR(Eva!V44="",'Pre-Tx'!V44=""),"",Eva!V44-'Pre-Tx'!V44)</f>
        <v/>
      </c>
      <c r="W44" s="89">
        <f>IF(OR(Eva!W44="",'Pre-Tx'!W44=""),"",Eva!W44-'Pre-Tx'!W44)</f>
        <v/>
      </c>
      <c r="X44" s="88">
        <f>IF(OR(Eva!X44="",'Pre-Tx'!X44=""),"",Eva!X44-'Pre-Tx'!X44)</f>
        <v/>
      </c>
      <c r="Y44" s="89">
        <f>IF(OR(Eva!Y44="",'Pre-Tx'!Y44=""),"",Eva!Y44-'Pre-Tx'!Y44)</f>
        <v/>
      </c>
      <c r="Z44" s="89">
        <f>IF(OR(Eva!Z44="",'Pre-Tx'!Z44=""),"",Eva!Z44-'Pre-Tx'!Z44)</f>
        <v/>
      </c>
      <c r="AA44" s="90">
        <f>IF(OR(Eva!AA44="",'Pre-Tx'!AA44=""),"",Eva!AA44-'Pre-Tx'!AA44)</f>
        <v/>
      </c>
      <c r="AB44" s="89">
        <f>IF(OR(Eva!AB44="",'Pre-Tx'!AB44=""),"",Eva!AB44-'Pre-Tx'!AB44)</f>
        <v/>
      </c>
      <c r="AC44" s="89">
        <f>IF(OR(Eva!AC44="",'Pre-Tx'!AC44=""),"",Eva!AC44-'Pre-Tx'!AC44)</f>
        <v/>
      </c>
      <c r="AD44" s="88">
        <f>IF(OR(Eva!AD44="",'Pre-Tx'!AD44=""),"",Eva!AD44-'Pre-Tx'!AD44)</f>
        <v/>
      </c>
      <c r="AE44" s="89">
        <f>IF(OR(Eva!AE44="",'Pre-Tx'!AE44=""),"",Eva!AE44-'Pre-Tx'!AE44)</f>
        <v/>
      </c>
      <c r="AF44" s="89">
        <f>IF(OR(Eva!AF44="",'Pre-Tx'!AF44=""),"",Eva!AF44-'Pre-Tx'!AF44)</f>
        <v/>
      </c>
      <c r="AG44" s="88">
        <f>IF(OR(Eva!AG44="",'Pre-Tx'!AG44=""),"",Eva!AG44-'Pre-Tx'!AG44)</f>
        <v/>
      </c>
      <c r="AH44" s="89">
        <f>IF(OR(Eva!AH44="",'Pre-Tx'!AH44=""),"",Eva!AH44-'Pre-Tx'!AH44)</f>
        <v/>
      </c>
      <c r="AI44" s="89">
        <f>IF(OR(Eva!AI44="",'Pre-Tx'!AI44=""),"",Eva!AI44-'Pre-Tx'!AI44)</f>
        <v/>
      </c>
      <c r="AJ44" s="88">
        <f>IF(OR(Eva!AJ44="",'Pre-Tx'!AJ44=""),"",Eva!AJ44-'Pre-Tx'!AJ44)</f>
        <v/>
      </c>
      <c r="AK44" s="89">
        <f>IF(OR(Eva!AK44="",'Pre-Tx'!AK44=""),"",Eva!AK44-'Pre-Tx'!AK44)</f>
        <v/>
      </c>
      <c r="AL44" s="89">
        <f>IF(OR(Eva!AL44="",'Pre-Tx'!AL44=""),"",Eva!AL44-'Pre-Tx'!AL44)</f>
        <v/>
      </c>
      <c r="AM44" s="88">
        <f>IF(OR(Eva!AM44="",'Pre-Tx'!AM44=""),"",Eva!AM44-'Pre-Tx'!AM44)</f>
        <v/>
      </c>
      <c r="AN44" s="89">
        <f>IF(OR(Eva!AN44="",'Pre-Tx'!AN44=""),"",Eva!AN44-'Pre-Tx'!AN44)</f>
        <v/>
      </c>
      <c r="AO44" s="89">
        <f>IF(OR(Eva!AO44="",'Pre-Tx'!AO44=""),"",Eva!AO44-'Pre-Tx'!AO44)</f>
        <v/>
      </c>
      <c r="AP44" s="88">
        <f>IF(OR(Eva!AP44="",'Pre-Tx'!AP44=""),"",Eva!AP44-'Pre-Tx'!AP44)</f>
        <v/>
      </c>
      <c r="AQ44" s="89">
        <f>IF(OR(Eva!AQ44="",'Pre-Tx'!AQ44=""),"",Eva!AQ44-'Pre-Tx'!AQ44)</f>
        <v/>
      </c>
      <c r="AR44" s="89">
        <f>IF(OR(Eva!AR44="",'Pre-Tx'!AR44=""),"",Eva!AR44-'Pre-Tx'!AR44)</f>
        <v/>
      </c>
      <c r="AS44" s="88">
        <f>IF(OR(Eva!AS44="",'Pre-Tx'!AS44=""),"",Eva!AS44-'Pre-Tx'!AS44)</f>
        <v/>
      </c>
      <c r="AT44" s="89">
        <f>IF(OR(Eva!AT44="",'Pre-Tx'!AT44=""),"",Eva!AT44-'Pre-Tx'!AT44)</f>
        <v/>
      </c>
      <c r="AU44" s="89">
        <f>IF(OR(Eva!AU44="",'Pre-Tx'!AU44=""),"",Eva!AU44-'Pre-Tx'!AU44)</f>
        <v/>
      </c>
      <c r="AV44" s="88">
        <f>IF(OR(Eva!AV44="",'Pre-Tx'!AV44=""),"",Eva!AV44-'Pre-Tx'!AV44)</f>
        <v/>
      </c>
      <c r="AW44" s="89">
        <f>IF(OR(Eva!AW44="",'Pre-Tx'!AW44=""),"",Eva!AW44-'Pre-Tx'!AW44)</f>
        <v/>
      </c>
      <c r="AX44" s="89">
        <f>IF(OR(Eva!AX44="",'Pre-Tx'!AX44=""),"",Eva!AX44-'Pre-Tx'!AX44)</f>
        <v/>
      </c>
      <c r="AY44" s="60" t="inlineStr">
        <is>
          <t>CAL</t>
        </is>
      </c>
    </row>
    <row r="45" ht="21" customHeight="1">
      <c r="A45" s="22" t="n"/>
      <c r="B45" s="23" t="inlineStr">
        <is>
          <t>PD</t>
        </is>
      </c>
      <c r="C45" s="82">
        <f>IF(OR(Eva!C45="",'Pre-Tx'!C45=""),"",Eva!C45-'Pre-Tx'!C45)</f>
        <v/>
      </c>
      <c r="D45" s="83">
        <f>IF(OR(Eva!D45="",'Pre-Tx'!D45=""),"",Eva!D45-'Pre-Tx'!D45)</f>
        <v/>
      </c>
      <c r="E45" s="83">
        <f>IF(OR(Eva!E45="",'Pre-Tx'!E45=""),"",Eva!E45-'Pre-Tx'!E45)</f>
        <v/>
      </c>
      <c r="F45" s="82">
        <f>IF(OR(Eva!F45="",'Pre-Tx'!F45=""),"",Eva!F45-'Pre-Tx'!F45)</f>
        <v/>
      </c>
      <c r="G45" s="83">
        <f>IF(OR(Eva!G45="",'Pre-Tx'!G45=""),"",Eva!G45-'Pre-Tx'!G45)</f>
        <v/>
      </c>
      <c r="H45" s="83">
        <f>IF(OR(Eva!H45="",'Pre-Tx'!H45=""),"",Eva!H45-'Pre-Tx'!H45)</f>
        <v/>
      </c>
      <c r="I45" s="82">
        <f>IF(OR(Eva!I45="",'Pre-Tx'!I45=""),"",Eva!I45-'Pre-Tx'!I45)</f>
        <v/>
      </c>
      <c r="J45" s="83">
        <f>IF(OR(Eva!J45="",'Pre-Tx'!J45=""),"",Eva!J45-'Pre-Tx'!J45)</f>
        <v/>
      </c>
      <c r="K45" s="83">
        <f>IF(OR(Eva!K45="",'Pre-Tx'!K45=""),"",Eva!K45-'Pre-Tx'!K45)</f>
        <v/>
      </c>
      <c r="L45" s="82">
        <f>IF(OR(Eva!L45="",'Pre-Tx'!L45=""),"",Eva!L45-'Pre-Tx'!L45)</f>
        <v/>
      </c>
      <c r="M45" s="83">
        <f>IF(OR(Eva!M45="",'Pre-Tx'!M45=""),"",Eva!M45-'Pre-Tx'!M45)</f>
        <v/>
      </c>
      <c r="N45" s="83">
        <f>IF(OR(Eva!N45="",'Pre-Tx'!N45=""),"",Eva!N45-'Pre-Tx'!N45)</f>
        <v/>
      </c>
      <c r="O45" s="82">
        <f>IF(OR(Eva!O45="",'Pre-Tx'!O45=""),"",Eva!O45-'Pre-Tx'!O45)</f>
        <v/>
      </c>
      <c r="P45" s="83">
        <f>IF(OR(Eva!P45="",'Pre-Tx'!P45=""),"",Eva!P45-'Pre-Tx'!P45)</f>
        <v/>
      </c>
      <c r="Q45" s="83">
        <f>IF(OR(Eva!Q45="",'Pre-Tx'!Q45=""),"",Eva!Q45-'Pre-Tx'!Q45)</f>
        <v/>
      </c>
      <c r="R45" s="82">
        <f>IF(OR(Eva!R45="",'Pre-Tx'!R45=""),"",Eva!R45-'Pre-Tx'!R45)</f>
        <v/>
      </c>
      <c r="S45" s="83">
        <f>IF(OR(Eva!S45="",'Pre-Tx'!S45=""),"",Eva!S45-'Pre-Tx'!S45)</f>
        <v/>
      </c>
      <c r="T45" s="83">
        <f>IF(OR(Eva!T45="",'Pre-Tx'!T45=""),"",Eva!T45-'Pre-Tx'!T45)</f>
        <v/>
      </c>
      <c r="U45" s="82">
        <f>IF(OR(Eva!U45="",'Pre-Tx'!U45=""),"",Eva!U45-'Pre-Tx'!U45)</f>
        <v/>
      </c>
      <c r="V45" s="83">
        <f>IF(OR(Eva!V45="",'Pre-Tx'!V45=""),"",Eva!V45-'Pre-Tx'!V45)</f>
        <v/>
      </c>
      <c r="W45" s="83">
        <f>IF(OR(Eva!W45="",'Pre-Tx'!W45=""),"",Eva!W45-'Pre-Tx'!W45)</f>
        <v/>
      </c>
      <c r="X45" s="82">
        <f>IF(OR(Eva!X45="",'Pre-Tx'!X45=""),"",Eva!X45-'Pre-Tx'!X45)</f>
        <v/>
      </c>
      <c r="Y45" s="83">
        <f>IF(OR(Eva!Y45="",'Pre-Tx'!Y45=""),"",Eva!Y45-'Pre-Tx'!Y45)</f>
        <v/>
      </c>
      <c r="Z45" s="83">
        <f>IF(OR(Eva!Z45="",'Pre-Tx'!Z45=""),"",Eva!Z45-'Pre-Tx'!Z45)</f>
        <v/>
      </c>
      <c r="AA45" s="84">
        <f>IF(OR(Eva!AA45="",'Pre-Tx'!AA45=""),"",Eva!AA45-'Pre-Tx'!AA45)</f>
        <v/>
      </c>
      <c r="AB45" s="83">
        <f>IF(OR(Eva!AB45="",'Pre-Tx'!AB45=""),"",Eva!AB45-'Pre-Tx'!AB45)</f>
        <v/>
      </c>
      <c r="AC45" s="83">
        <f>IF(OR(Eva!AC45="",'Pre-Tx'!AC45=""),"",Eva!AC45-'Pre-Tx'!AC45)</f>
        <v/>
      </c>
      <c r="AD45" s="82">
        <f>IF(OR(Eva!AD45="",'Pre-Tx'!AD45=""),"",Eva!AD45-'Pre-Tx'!AD45)</f>
        <v/>
      </c>
      <c r="AE45" s="83">
        <f>IF(OR(Eva!AE45="",'Pre-Tx'!AE45=""),"",Eva!AE45-'Pre-Tx'!AE45)</f>
        <v/>
      </c>
      <c r="AF45" s="83">
        <f>IF(OR(Eva!AF45="",'Pre-Tx'!AF45=""),"",Eva!AF45-'Pre-Tx'!AF45)</f>
        <v/>
      </c>
      <c r="AG45" s="82">
        <f>IF(OR(Eva!AG45="",'Pre-Tx'!AG45=""),"",Eva!AG45-'Pre-Tx'!AG45)</f>
        <v/>
      </c>
      <c r="AH45" s="83">
        <f>IF(OR(Eva!AH45="",'Pre-Tx'!AH45=""),"",Eva!AH45-'Pre-Tx'!AH45)</f>
        <v/>
      </c>
      <c r="AI45" s="83">
        <f>IF(OR(Eva!AI45="",'Pre-Tx'!AI45=""),"",Eva!AI45-'Pre-Tx'!AI45)</f>
        <v/>
      </c>
      <c r="AJ45" s="82">
        <f>IF(OR(Eva!AJ45="",'Pre-Tx'!AJ45=""),"",Eva!AJ45-'Pre-Tx'!AJ45)</f>
        <v/>
      </c>
      <c r="AK45" s="83">
        <f>IF(OR(Eva!AK45="",'Pre-Tx'!AK45=""),"",Eva!AK45-'Pre-Tx'!AK45)</f>
        <v/>
      </c>
      <c r="AL45" s="83">
        <f>IF(OR(Eva!AL45="",'Pre-Tx'!AL45=""),"",Eva!AL45-'Pre-Tx'!AL45)</f>
        <v/>
      </c>
      <c r="AM45" s="82">
        <f>IF(OR(Eva!AM45="",'Pre-Tx'!AM45=""),"",Eva!AM45-'Pre-Tx'!AM45)</f>
        <v/>
      </c>
      <c r="AN45" s="83">
        <f>IF(OR(Eva!AN45="",'Pre-Tx'!AN45=""),"",Eva!AN45-'Pre-Tx'!AN45)</f>
        <v/>
      </c>
      <c r="AO45" s="83">
        <f>IF(OR(Eva!AO45="",'Pre-Tx'!AO45=""),"",Eva!AO45-'Pre-Tx'!AO45)</f>
        <v/>
      </c>
      <c r="AP45" s="82">
        <f>IF(OR(Eva!AP45="",'Pre-Tx'!AP45=""),"",Eva!AP45-'Pre-Tx'!AP45)</f>
        <v/>
      </c>
      <c r="AQ45" s="83">
        <f>IF(OR(Eva!AQ45="",'Pre-Tx'!AQ45=""),"",Eva!AQ45-'Pre-Tx'!AQ45)</f>
        <v/>
      </c>
      <c r="AR45" s="83">
        <f>IF(OR(Eva!AR45="",'Pre-Tx'!AR45=""),"",Eva!AR45-'Pre-Tx'!AR45)</f>
        <v/>
      </c>
      <c r="AS45" s="82">
        <f>IF(OR(Eva!AS45="",'Pre-Tx'!AS45=""),"",Eva!AS45-'Pre-Tx'!AS45)</f>
        <v/>
      </c>
      <c r="AT45" s="83">
        <f>IF(OR(Eva!AT45="",'Pre-Tx'!AT45=""),"",Eva!AT45-'Pre-Tx'!AT45)</f>
        <v/>
      </c>
      <c r="AU45" s="83">
        <f>IF(OR(Eva!AU45="",'Pre-Tx'!AU45=""),"",Eva!AU45-'Pre-Tx'!AU45)</f>
        <v/>
      </c>
      <c r="AV45" s="82">
        <f>IF(OR(Eva!AV45="",'Pre-Tx'!AV45=""),"",Eva!AV45-'Pre-Tx'!AV45)</f>
        <v/>
      </c>
      <c r="AW45" s="83">
        <f>IF(OR(Eva!AW45="",'Pre-Tx'!AW45=""),"",Eva!AW45-'Pre-Tx'!AW45)</f>
        <v/>
      </c>
      <c r="AX45" s="83">
        <f>IF(OR(Eva!AX45="",'Pre-Tx'!AX45=""),"",Eva!AX45-'Pre-Tx'!AX45)</f>
        <v/>
      </c>
      <c r="AY45" s="27" t="inlineStr">
        <is>
          <t>PD</t>
        </is>
      </c>
    </row>
    <row r="46" ht="21" customHeight="1">
      <c r="A46" s="22" t="n"/>
      <c r="B46" s="23" t="inlineStr">
        <is>
          <t>CEJ-GM</t>
        </is>
      </c>
      <c r="C46" s="79">
        <f>IF(OR(Eva!C46="",'Pre-Tx'!C46=""),"",Eva!C46-'Pre-Tx'!C46)</f>
        <v/>
      </c>
      <c r="D46" s="80">
        <f>IF(OR(Eva!D46="",'Pre-Tx'!D46=""),"",Eva!D46-'Pre-Tx'!D46)</f>
        <v/>
      </c>
      <c r="E46" s="80">
        <f>IF(OR(Eva!E46="",'Pre-Tx'!E46=""),"",Eva!E46-'Pre-Tx'!E46)</f>
        <v/>
      </c>
      <c r="F46" s="79">
        <f>IF(OR(Eva!F46="",'Pre-Tx'!F46=""),"",Eva!F46-'Pre-Tx'!F46)</f>
        <v/>
      </c>
      <c r="G46" s="80">
        <f>IF(OR(Eva!G46="",'Pre-Tx'!G46=""),"",Eva!G46-'Pre-Tx'!G46)</f>
        <v/>
      </c>
      <c r="H46" s="80">
        <f>IF(OR(Eva!H46="",'Pre-Tx'!H46=""),"",Eva!H46-'Pre-Tx'!H46)</f>
        <v/>
      </c>
      <c r="I46" s="79">
        <f>IF(OR(Eva!I46="",'Pre-Tx'!I46=""),"",Eva!I46-'Pre-Tx'!I46)</f>
        <v/>
      </c>
      <c r="J46" s="80">
        <f>IF(OR(Eva!J46="",'Pre-Tx'!J46=""),"",Eva!J46-'Pre-Tx'!J46)</f>
        <v/>
      </c>
      <c r="K46" s="80">
        <f>IF(OR(Eva!K46="",'Pre-Tx'!K46=""),"",Eva!K46-'Pre-Tx'!K46)</f>
        <v/>
      </c>
      <c r="L46" s="79">
        <f>IF(OR(Eva!L46="",'Pre-Tx'!L46=""),"",Eva!L46-'Pre-Tx'!L46)</f>
        <v/>
      </c>
      <c r="M46" s="80">
        <f>IF(OR(Eva!M46="",'Pre-Tx'!M46=""),"",Eva!M46-'Pre-Tx'!M46)</f>
        <v/>
      </c>
      <c r="N46" s="80">
        <f>IF(OR(Eva!N46="",'Pre-Tx'!N46=""),"",Eva!N46-'Pre-Tx'!N46)</f>
        <v/>
      </c>
      <c r="O46" s="79">
        <f>IF(OR(Eva!O46="",'Pre-Tx'!O46=""),"",Eva!O46-'Pre-Tx'!O46)</f>
        <v/>
      </c>
      <c r="P46" s="80">
        <f>IF(OR(Eva!P46="",'Pre-Tx'!P46=""),"",Eva!P46-'Pre-Tx'!P46)</f>
        <v/>
      </c>
      <c r="Q46" s="80">
        <f>IF(OR(Eva!Q46="",'Pre-Tx'!Q46=""),"",Eva!Q46-'Pre-Tx'!Q46)</f>
        <v/>
      </c>
      <c r="R46" s="79">
        <f>IF(OR(Eva!R46="",'Pre-Tx'!R46=""),"",Eva!R46-'Pre-Tx'!R46)</f>
        <v/>
      </c>
      <c r="S46" s="80">
        <f>IF(OR(Eva!S46="",'Pre-Tx'!S46=""),"",Eva!S46-'Pre-Tx'!S46)</f>
        <v/>
      </c>
      <c r="T46" s="80">
        <f>IF(OR(Eva!T46="",'Pre-Tx'!T46=""),"",Eva!T46-'Pre-Tx'!T46)</f>
        <v/>
      </c>
      <c r="U46" s="79">
        <f>IF(OR(Eva!U46="",'Pre-Tx'!U46=""),"",Eva!U46-'Pre-Tx'!U46)</f>
        <v/>
      </c>
      <c r="V46" s="80">
        <f>IF(OR(Eva!V46="",'Pre-Tx'!V46=""),"",Eva!V46-'Pre-Tx'!V46)</f>
        <v/>
      </c>
      <c r="W46" s="80">
        <f>IF(OR(Eva!W46="",'Pre-Tx'!W46=""),"",Eva!W46-'Pre-Tx'!W46)</f>
        <v/>
      </c>
      <c r="X46" s="79">
        <f>IF(OR(Eva!X46="",'Pre-Tx'!X46=""),"",Eva!X46-'Pre-Tx'!X46)</f>
        <v/>
      </c>
      <c r="Y46" s="80">
        <f>IF(OR(Eva!Y46="",'Pre-Tx'!Y46=""),"",Eva!Y46-'Pre-Tx'!Y46)</f>
        <v/>
      </c>
      <c r="Z46" s="80">
        <f>IF(OR(Eva!Z46="",'Pre-Tx'!Z46=""),"",Eva!Z46-'Pre-Tx'!Z46)</f>
        <v/>
      </c>
      <c r="AA46" s="81">
        <f>IF(OR(Eva!AA46="",'Pre-Tx'!AA46=""),"",Eva!AA46-'Pre-Tx'!AA46)</f>
        <v/>
      </c>
      <c r="AB46" s="80">
        <f>IF(OR(Eva!AB46="",'Pre-Tx'!AB46=""),"",Eva!AB46-'Pre-Tx'!AB46)</f>
        <v/>
      </c>
      <c r="AC46" s="80">
        <f>IF(OR(Eva!AC46="",'Pre-Tx'!AC46=""),"",Eva!AC46-'Pre-Tx'!AC46)</f>
        <v/>
      </c>
      <c r="AD46" s="79">
        <f>IF(OR(Eva!AD46="",'Pre-Tx'!AD46=""),"",Eva!AD46-'Pre-Tx'!AD46)</f>
        <v/>
      </c>
      <c r="AE46" s="80">
        <f>IF(OR(Eva!AE46="",'Pre-Tx'!AE46=""),"",Eva!AE46-'Pre-Tx'!AE46)</f>
        <v/>
      </c>
      <c r="AF46" s="80">
        <f>IF(OR(Eva!AF46="",'Pre-Tx'!AF46=""),"",Eva!AF46-'Pre-Tx'!AF46)</f>
        <v/>
      </c>
      <c r="AG46" s="79">
        <f>IF(OR(Eva!AG46="",'Pre-Tx'!AG46=""),"",Eva!AG46-'Pre-Tx'!AG46)</f>
        <v/>
      </c>
      <c r="AH46" s="80">
        <f>IF(OR(Eva!AH46="",'Pre-Tx'!AH46=""),"",Eva!AH46-'Pre-Tx'!AH46)</f>
        <v/>
      </c>
      <c r="AI46" s="80">
        <f>IF(OR(Eva!AI46="",'Pre-Tx'!AI46=""),"",Eva!AI46-'Pre-Tx'!AI46)</f>
        <v/>
      </c>
      <c r="AJ46" s="79">
        <f>IF(OR(Eva!AJ46="",'Pre-Tx'!AJ46=""),"",Eva!AJ46-'Pre-Tx'!AJ46)</f>
        <v/>
      </c>
      <c r="AK46" s="80">
        <f>IF(OR(Eva!AK46="",'Pre-Tx'!AK46=""),"",Eva!AK46-'Pre-Tx'!AK46)</f>
        <v/>
      </c>
      <c r="AL46" s="80">
        <f>IF(OR(Eva!AL46="",'Pre-Tx'!AL46=""),"",Eva!AL46-'Pre-Tx'!AL46)</f>
        <v/>
      </c>
      <c r="AM46" s="79">
        <f>IF(OR(Eva!AM46="",'Pre-Tx'!AM46=""),"",Eva!AM46-'Pre-Tx'!AM46)</f>
        <v/>
      </c>
      <c r="AN46" s="80">
        <f>IF(OR(Eva!AN46="",'Pre-Tx'!AN46=""),"",Eva!AN46-'Pre-Tx'!AN46)</f>
        <v/>
      </c>
      <c r="AO46" s="80">
        <f>IF(OR(Eva!AO46="",'Pre-Tx'!AO46=""),"",Eva!AO46-'Pre-Tx'!AO46)</f>
        <v/>
      </c>
      <c r="AP46" s="79">
        <f>IF(OR(Eva!AP46="",'Pre-Tx'!AP46=""),"",Eva!AP46-'Pre-Tx'!AP46)</f>
        <v/>
      </c>
      <c r="AQ46" s="80">
        <f>IF(OR(Eva!AQ46="",'Pre-Tx'!AQ46=""),"",Eva!AQ46-'Pre-Tx'!AQ46)</f>
        <v/>
      </c>
      <c r="AR46" s="80">
        <f>IF(OR(Eva!AR46="",'Pre-Tx'!AR46=""),"",Eva!AR46-'Pre-Tx'!AR46)</f>
        <v/>
      </c>
      <c r="AS46" s="79">
        <f>IF(OR(Eva!AS46="",'Pre-Tx'!AS46=""),"",Eva!AS46-'Pre-Tx'!AS46)</f>
        <v/>
      </c>
      <c r="AT46" s="80">
        <f>IF(OR(Eva!AT46="",'Pre-Tx'!AT46=""),"",Eva!AT46-'Pre-Tx'!AT46)</f>
        <v/>
      </c>
      <c r="AU46" s="80">
        <f>IF(OR(Eva!AU46="",'Pre-Tx'!AU46=""),"",Eva!AU46-'Pre-Tx'!AU46)</f>
        <v/>
      </c>
      <c r="AV46" s="79">
        <f>IF(OR(Eva!AV46="",'Pre-Tx'!AV46=""),"",Eva!AV46-'Pre-Tx'!AV46)</f>
        <v/>
      </c>
      <c r="AW46" s="80">
        <f>IF(OR(Eva!AW46="",'Pre-Tx'!AW46=""),"",Eva!AW46-'Pre-Tx'!AW46)</f>
        <v/>
      </c>
      <c r="AX46" s="80">
        <f>IF(OR(Eva!AX46="",'Pre-Tx'!AX46=""),"",Eva!AX46-'Pre-Tx'!AX46)</f>
        <v/>
      </c>
      <c r="AY46" s="27" t="inlineStr">
        <is>
          <t>CEJ-GM</t>
        </is>
      </c>
    </row>
    <row r="47" ht="21" customHeight="1">
      <c r="A47" s="22" t="n"/>
      <c r="B47" s="23" t="inlineStr">
        <is>
          <t>BOP</t>
        </is>
      </c>
      <c r="C47" s="24">
        <f>IF(Eva!C47="","",Eva!C47)</f>
        <v/>
      </c>
      <c r="D47" s="25">
        <f>IF(Eva!D47="","",Eva!D47)</f>
        <v/>
      </c>
      <c r="E47" s="25">
        <f>IF(Eva!E47="","",Eva!E47)</f>
        <v/>
      </c>
      <c r="F47" s="24">
        <f>IF(Eva!F47="","",Eva!F47)</f>
        <v/>
      </c>
      <c r="G47" s="25">
        <f>IF(Eva!G47="","",Eva!G47)</f>
        <v/>
      </c>
      <c r="H47" s="25">
        <f>IF(Eva!H47="","",Eva!H47)</f>
        <v/>
      </c>
      <c r="I47" s="24">
        <f>IF(Eva!I47="","",Eva!I47)</f>
        <v/>
      </c>
      <c r="J47" s="25">
        <f>IF(Eva!J47="","",Eva!J47)</f>
        <v/>
      </c>
      <c r="K47" s="25">
        <f>IF(Eva!K47="","",Eva!K47)</f>
        <v/>
      </c>
      <c r="L47" s="24">
        <f>IF(Eva!L47="","",Eva!L47)</f>
        <v/>
      </c>
      <c r="M47" s="25">
        <f>IF(Eva!M47="","",Eva!M47)</f>
        <v/>
      </c>
      <c r="N47" s="25">
        <f>IF(Eva!N47="","",Eva!N47)</f>
        <v/>
      </c>
      <c r="O47" s="24">
        <f>IF(Eva!O47="","",Eva!O47)</f>
        <v/>
      </c>
      <c r="P47" s="25">
        <f>IF(Eva!P47="","",Eva!P47)</f>
        <v/>
      </c>
      <c r="Q47" s="25">
        <f>IF(Eva!Q47="","",Eva!Q47)</f>
        <v/>
      </c>
      <c r="R47" s="24">
        <f>IF(Eva!R47="","",Eva!R47)</f>
        <v/>
      </c>
      <c r="S47" s="25">
        <f>IF(Eva!S47="","",Eva!S47)</f>
        <v/>
      </c>
      <c r="T47" s="25">
        <f>IF(Eva!T47="","",Eva!T47)</f>
        <v/>
      </c>
      <c r="U47" s="24">
        <f>IF(Eva!U47="","",Eva!U47)</f>
        <v/>
      </c>
      <c r="V47" s="25">
        <f>IF(Eva!V47="","",Eva!V47)</f>
        <v/>
      </c>
      <c r="W47" s="25">
        <f>IF(Eva!W47="","",Eva!W47)</f>
        <v/>
      </c>
      <c r="X47" s="24">
        <f>IF(Eva!X47="","",Eva!X47)</f>
        <v/>
      </c>
      <c r="Y47" s="25">
        <f>IF(Eva!Y47="","",Eva!Y47)</f>
        <v/>
      </c>
      <c r="Z47" s="25">
        <f>IF(Eva!Z47="","",Eva!Z47)</f>
        <v/>
      </c>
      <c r="AA47" s="26">
        <f>IF(Eva!AA47="","",Eva!AA47)</f>
        <v/>
      </c>
      <c r="AB47" s="25">
        <f>IF(Eva!AB47="","",Eva!AB47)</f>
        <v/>
      </c>
      <c r="AC47" s="25">
        <f>IF(Eva!AC47="","",Eva!AC47)</f>
        <v/>
      </c>
      <c r="AD47" s="24">
        <f>IF(Eva!AD47="","",Eva!AD47)</f>
        <v/>
      </c>
      <c r="AE47" s="25">
        <f>IF(Eva!AE47="","",Eva!AE47)</f>
        <v/>
      </c>
      <c r="AF47" s="25">
        <f>IF(Eva!AF47="","",Eva!AF47)</f>
        <v/>
      </c>
      <c r="AG47" s="24">
        <f>IF(Eva!AG47="","",Eva!AG47)</f>
        <v/>
      </c>
      <c r="AH47" s="25">
        <f>IF(Eva!AH47="","",Eva!AH47)</f>
        <v/>
      </c>
      <c r="AI47" s="25">
        <f>IF(Eva!AI47="","",Eva!AI47)</f>
        <v/>
      </c>
      <c r="AJ47" s="24">
        <f>IF(Eva!AJ47="","",Eva!AJ47)</f>
        <v/>
      </c>
      <c r="AK47" s="25">
        <f>IF(Eva!AK47="","",Eva!AK47)</f>
        <v/>
      </c>
      <c r="AL47" s="25">
        <f>IF(Eva!AL47="","",Eva!AL47)</f>
        <v/>
      </c>
      <c r="AM47" s="24">
        <f>IF(Eva!AM47="","",Eva!AM47)</f>
        <v/>
      </c>
      <c r="AN47" s="25">
        <f>IF(Eva!AN47="","",Eva!AN47)</f>
        <v/>
      </c>
      <c r="AO47" s="25">
        <f>IF(Eva!AO47="","",Eva!AO47)</f>
        <v/>
      </c>
      <c r="AP47" s="24">
        <f>IF(Eva!AP47="","",Eva!AP47)</f>
        <v/>
      </c>
      <c r="AQ47" s="25">
        <f>IF(Eva!AQ47="","",Eva!AQ47)</f>
        <v/>
      </c>
      <c r="AR47" s="25">
        <f>IF(Eva!AR47="","",Eva!AR47)</f>
        <v/>
      </c>
      <c r="AS47" s="24">
        <f>IF(Eva!AS47="","",Eva!AS47)</f>
        <v/>
      </c>
      <c r="AT47" s="25">
        <f>IF(Eva!AT47="","",Eva!AT47)</f>
        <v/>
      </c>
      <c r="AU47" s="25">
        <f>IF(Eva!AU47="","",Eva!AU47)</f>
        <v/>
      </c>
      <c r="AV47" s="24">
        <f>IF(Eva!AV47="","",Eva!AV47)</f>
        <v/>
      </c>
      <c r="AW47" s="25">
        <f>IF(Eva!AW47="","",Eva!AW47)</f>
        <v/>
      </c>
      <c r="AX47" s="25">
        <f>IF(Eva!AX47="","",Eva!AX47)</f>
        <v/>
      </c>
      <c r="AY47" s="27" t="inlineStr">
        <is>
          <t>BOP</t>
        </is>
      </c>
    </row>
    <row r="48" ht="21" customHeight="1">
      <c r="A48" s="22" t="n"/>
      <c r="B48" s="23" t="inlineStr">
        <is>
          <t>PLAQUE</t>
        </is>
      </c>
      <c r="C48" s="24">
        <f>IF(Eva!C48="","",Eva!C48)</f>
        <v/>
      </c>
      <c r="D48" s="25">
        <f>IF(Eva!D48="","",Eva!D48)</f>
        <v/>
      </c>
      <c r="E48" s="25">
        <f>IF(Eva!E48="","",Eva!E48)</f>
        <v/>
      </c>
      <c r="F48" s="24">
        <f>IF(Eva!F48="","",Eva!F48)</f>
        <v/>
      </c>
      <c r="G48" s="25">
        <f>IF(Eva!G48="","",Eva!G48)</f>
        <v/>
      </c>
      <c r="H48" s="25">
        <f>IF(Eva!H48="","",Eva!H48)</f>
        <v/>
      </c>
      <c r="I48" s="24">
        <f>IF(Eva!I48="","",Eva!I48)</f>
        <v/>
      </c>
      <c r="J48" s="25">
        <f>IF(Eva!J48="","",Eva!J48)</f>
        <v/>
      </c>
      <c r="K48" s="25">
        <f>IF(Eva!K48="","",Eva!K48)</f>
        <v/>
      </c>
      <c r="L48" s="24">
        <f>IF(Eva!L48="","",Eva!L48)</f>
        <v/>
      </c>
      <c r="M48" s="25">
        <f>IF(Eva!M48="","",Eva!M48)</f>
        <v/>
      </c>
      <c r="N48" s="25">
        <f>IF(Eva!N48="","",Eva!N48)</f>
        <v/>
      </c>
      <c r="O48" s="24">
        <f>IF(Eva!O48="","",Eva!O48)</f>
        <v/>
      </c>
      <c r="P48" s="25">
        <f>IF(Eva!P48="","",Eva!P48)</f>
        <v/>
      </c>
      <c r="Q48" s="25">
        <f>IF(Eva!Q48="","",Eva!Q48)</f>
        <v/>
      </c>
      <c r="R48" s="24">
        <f>IF(Eva!R48="","",Eva!R48)</f>
        <v/>
      </c>
      <c r="S48" s="25">
        <f>IF(Eva!S48="","",Eva!S48)</f>
        <v/>
      </c>
      <c r="T48" s="25">
        <f>IF(Eva!T48="","",Eva!T48)</f>
        <v/>
      </c>
      <c r="U48" s="24">
        <f>IF(Eva!U48="","",Eva!U48)</f>
        <v/>
      </c>
      <c r="V48" s="25">
        <f>IF(Eva!V48="","",Eva!V48)</f>
        <v/>
      </c>
      <c r="W48" s="25">
        <f>IF(Eva!W48="","",Eva!W48)</f>
        <v/>
      </c>
      <c r="X48" s="24">
        <f>IF(Eva!X48="","",Eva!X48)</f>
        <v/>
      </c>
      <c r="Y48" s="25">
        <f>IF(Eva!Y48="","",Eva!Y48)</f>
        <v/>
      </c>
      <c r="Z48" s="25">
        <f>IF(Eva!Z48="","",Eva!Z48)</f>
        <v/>
      </c>
      <c r="AA48" s="26">
        <f>IF(Eva!AA48="","",Eva!AA48)</f>
        <v/>
      </c>
      <c r="AB48" s="25">
        <f>IF(Eva!AB48="","",Eva!AB48)</f>
        <v/>
      </c>
      <c r="AC48" s="25">
        <f>IF(Eva!AC48="","",Eva!AC48)</f>
        <v/>
      </c>
      <c r="AD48" s="24">
        <f>IF(Eva!AD48="","",Eva!AD48)</f>
        <v/>
      </c>
      <c r="AE48" s="25">
        <f>IF(Eva!AE48="","",Eva!AE48)</f>
        <v/>
      </c>
      <c r="AF48" s="25">
        <f>IF(Eva!AF48="","",Eva!AF48)</f>
        <v/>
      </c>
      <c r="AG48" s="24">
        <f>IF(Eva!AG48="","",Eva!AG48)</f>
        <v/>
      </c>
      <c r="AH48" s="25">
        <f>IF(Eva!AH48="","",Eva!AH48)</f>
        <v/>
      </c>
      <c r="AI48" s="25">
        <f>IF(Eva!AI48="","",Eva!AI48)</f>
        <v/>
      </c>
      <c r="AJ48" s="24">
        <f>IF(Eva!AJ48="","",Eva!AJ48)</f>
        <v/>
      </c>
      <c r="AK48" s="25">
        <f>IF(Eva!AK48="","",Eva!AK48)</f>
        <v/>
      </c>
      <c r="AL48" s="25">
        <f>IF(Eva!AL48="","",Eva!AL48)</f>
        <v/>
      </c>
      <c r="AM48" s="24">
        <f>IF(Eva!AM48="","",Eva!AM48)</f>
        <v/>
      </c>
      <c r="AN48" s="25">
        <f>IF(Eva!AN48="","",Eva!AN48)</f>
        <v/>
      </c>
      <c r="AO48" s="25">
        <f>IF(Eva!AO48="","",Eva!AO48)</f>
        <v/>
      </c>
      <c r="AP48" s="24">
        <f>IF(Eva!AP48="","",Eva!AP48)</f>
        <v/>
      </c>
      <c r="AQ48" s="25">
        <f>IF(Eva!AQ48="","",Eva!AQ48)</f>
        <v/>
      </c>
      <c r="AR48" s="25">
        <f>IF(Eva!AR48="","",Eva!AR48)</f>
        <v/>
      </c>
      <c r="AS48" s="24">
        <f>IF(Eva!AS48="","",Eva!AS48)</f>
        <v/>
      </c>
      <c r="AT48" s="25">
        <f>IF(Eva!AT48="","",Eva!AT48)</f>
        <v/>
      </c>
      <c r="AU48" s="25">
        <f>IF(Eva!AU48="","",Eva!AU48)</f>
        <v/>
      </c>
      <c r="AV48" s="24">
        <f>IF(Eva!AV48="","",Eva!AV48)</f>
        <v/>
      </c>
      <c r="AW48" s="25">
        <f>IF(Eva!AW48="","",Eva!AW48)</f>
        <v/>
      </c>
      <c r="AX48" s="25">
        <f>IF(Eva!AX48="","",Eva!AX48)</f>
        <v/>
      </c>
      <c r="AY48" s="27" t="inlineStr">
        <is>
          <t>PLAQUE</t>
        </is>
      </c>
    </row>
    <row r="49" ht="21" customHeight="1">
      <c r="A49" s="22" t="n"/>
      <c r="B49" s="23" t="inlineStr">
        <is>
          <t>KG</t>
        </is>
      </c>
      <c r="C49" s="79">
        <f>IF(OR(Eva!C49="",'Pre-Tx'!C49=""),"",Eva!C49-'Pre-Tx'!C49)</f>
        <v/>
      </c>
      <c r="D49" s="80">
        <f>IF(OR(Eva!D49="",'Pre-Tx'!D49=""),"",Eva!D49-'Pre-Tx'!D49)</f>
        <v/>
      </c>
      <c r="E49" s="80">
        <f>IF(OR(Eva!E49="",'Pre-Tx'!E49=""),"",Eva!E49-'Pre-Tx'!E49)</f>
        <v/>
      </c>
      <c r="F49" s="79">
        <f>IF(OR(Eva!F49="",'Pre-Tx'!F49=""),"",Eva!F49-'Pre-Tx'!F49)</f>
        <v/>
      </c>
      <c r="G49" s="80">
        <f>IF(OR(Eva!G49="",'Pre-Tx'!G49=""),"",Eva!G49-'Pre-Tx'!G49)</f>
        <v/>
      </c>
      <c r="H49" s="80">
        <f>IF(OR(Eva!H49="",'Pre-Tx'!H49=""),"",Eva!H49-'Pre-Tx'!H49)</f>
        <v/>
      </c>
      <c r="I49" s="79">
        <f>IF(OR(Eva!I49="",'Pre-Tx'!I49=""),"",Eva!I49-'Pre-Tx'!I49)</f>
        <v/>
      </c>
      <c r="J49" s="80">
        <f>IF(OR(Eva!J49="",'Pre-Tx'!J49=""),"",Eva!J49-'Pre-Tx'!J49)</f>
        <v/>
      </c>
      <c r="K49" s="80">
        <f>IF(OR(Eva!K49="",'Pre-Tx'!K49=""),"",Eva!K49-'Pre-Tx'!K49)</f>
        <v/>
      </c>
      <c r="L49" s="79">
        <f>IF(OR(Eva!L49="",'Pre-Tx'!L49=""),"",Eva!L49-'Pre-Tx'!L49)</f>
        <v/>
      </c>
      <c r="M49" s="80">
        <f>IF(OR(Eva!M49="",'Pre-Tx'!M49=""),"",Eva!M49-'Pre-Tx'!M49)</f>
        <v/>
      </c>
      <c r="N49" s="80">
        <f>IF(OR(Eva!N49="",'Pre-Tx'!N49=""),"",Eva!N49-'Pre-Tx'!N49)</f>
        <v/>
      </c>
      <c r="O49" s="79">
        <f>IF(OR(Eva!O49="",'Pre-Tx'!O49=""),"",Eva!O49-'Pre-Tx'!O49)</f>
        <v/>
      </c>
      <c r="P49" s="80">
        <f>IF(OR(Eva!P49="",'Pre-Tx'!P49=""),"",Eva!P49-'Pre-Tx'!P49)</f>
        <v/>
      </c>
      <c r="Q49" s="80">
        <f>IF(OR(Eva!Q49="",'Pre-Tx'!Q49=""),"",Eva!Q49-'Pre-Tx'!Q49)</f>
        <v/>
      </c>
      <c r="R49" s="79">
        <f>IF(OR(Eva!R49="",'Pre-Tx'!R49=""),"",Eva!R49-'Pre-Tx'!R49)</f>
        <v/>
      </c>
      <c r="S49" s="80">
        <f>IF(OR(Eva!S49="",'Pre-Tx'!S49=""),"",Eva!S49-'Pre-Tx'!S49)</f>
        <v/>
      </c>
      <c r="T49" s="80">
        <f>IF(OR(Eva!T49="",'Pre-Tx'!T49=""),"",Eva!T49-'Pre-Tx'!T49)</f>
        <v/>
      </c>
      <c r="U49" s="79">
        <f>IF(OR(Eva!U49="",'Pre-Tx'!U49=""),"",Eva!U49-'Pre-Tx'!U49)</f>
        <v/>
      </c>
      <c r="V49" s="80">
        <f>IF(OR(Eva!V49="",'Pre-Tx'!V49=""),"",Eva!V49-'Pre-Tx'!V49)</f>
        <v/>
      </c>
      <c r="W49" s="80">
        <f>IF(OR(Eva!W49="",'Pre-Tx'!W49=""),"",Eva!W49-'Pre-Tx'!W49)</f>
        <v/>
      </c>
      <c r="X49" s="79">
        <f>IF(OR(Eva!X49="",'Pre-Tx'!X49=""),"",Eva!X49-'Pre-Tx'!X49)</f>
        <v/>
      </c>
      <c r="Y49" s="80">
        <f>IF(OR(Eva!Y49="",'Pre-Tx'!Y49=""),"",Eva!Y49-'Pre-Tx'!Y49)</f>
        <v/>
      </c>
      <c r="Z49" s="80">
        <f>IF(OR(Eva!Z49="",'Pre-Tx'!Z49=""),"",Eva!Z49-'Pre-Tx'!Z49)</f>
        <v/>
      </c>
      <c r="AA49" s="81">
        <f>IF(OR(Eva!AA49="",'Pre-Tx'!AA49=""),"",Eva!AA49-'Pre-Tx'!AA49)</f>
        <v/>
      </c>
      <c r="AB49" s="80">
        <f>IF(OR(Eva!AB49="",'Pre-Tx'!AB49=""),"",Eva!AB49-'Pre-Tx'!AB49)</f>
        <v/>
      </c>
      <c r="AC49" s="80">
        <f>IF(OR(Eva!AC49="",'Pre-Tx'!AC49=""),"",Eva!AC49-'Pre-Tx'!AC49)</f>
        <v/>
      </c>
      <c r="AD49" s="79">
        <f>IF(OR(Eva!AD49="",'Pre-Tx'!AD49=""),"",Eva!AD49-'Pre-Tx'!AD49)</f>
        <v/>
      </c>
      <c r="AE49" s="80">
        <f>IF(OR(Eva!AE49="",'Pre-Tx'!AE49=""),"",Eva!AE49-'Pre-Tx'!AE49)</f>
        <v/>
      </c>
      <c r="AF49" s="80">
        <f>IF(OR(Eva!AF49="",'Pre-Tx'!AF49=""),"",Eva!AF49-'Pre-Tx'!AF49)</f>
        <v/>
      </c>
      <c r="AG49" s="79">
        <f>IF(OR(Eva!AG49="",'Pre-Tx'!AG49=""),"",Eva!AG49-'Pre-Tx'!AG49)</f>
        <v/>
      </c>
      <c r="AH49" s="80">
        <f>IF(OR(Eva!AH49="",'Pre-Tx'!AH49=""),"",Eva!AH49-'Pre-Tx'!AH49)</f>
        <v/>
      </c>
      <c r="AI49" s="80">
        <f>IF(OR(Eva!AI49="",'Pre-Tx'!AI49=""),"",Eva!AI49-'Pre-Tx'!AI49)</f>
        <v/>
      </c>
      <c r="AJ49" s="79">
        <f>IF(OR(Eva!AJ49="",'Pre-Tx'!AJ49=""),"",Eva!AJ49-'Pre-Tx'!AJ49)</f>
        <v/>
      </c>
      <c r="AK49" s="80">
        <f>IF(OR(Eva!AK49="",'Pre-Tx'!AK49=""),"",Eva!AK49-'Pre-Tx'!AK49)</f>
        <v/>
      </c>
      <c r="AL49" s="80">
        <f>IF(OR(Eva!AL49="",'Pre-Tx'!AL49=""),"",Eva!AL49-'Pre-Tx'!AL49)</f>
        <v/>
      </c>
      <c r="AM49" s="79">
        <f>IF(OR(Eva!AM49="",'Pre-Tx'!AM49=""),"",Eva!AM49-'Pre-Tx'!AM49)</f>
        <v/>
      </c>
      <c r="AN49" s="80">
        <f>IF(OR(Eva!AN49="",'Pre-Tx'!AN49=""),"",Eva!AN49-'Pre-Tx'!AN49)</f>
        <v/>
      </c>
      <c r="AO49" s="80">
        <f>IF(OR(Eva!AO49="",'Pre-Tx'!AO49=""),"",Eva!AO49-'Pre-Tx'!AO49)</f>
        <v/>
      </c>
      <c r="AP49" s="79">
        <f>IF(OR(Eva!AP49="",'Pre-Tx'!AP49=""),"",Eva!AP49-'Pre-Tx'!AP49)</f>
        <v/>
      </c>
      <c r="AQ49" s="80">
        <f>IF(OR(Eva!AQ49="",'Pre-Tx'!AQ49=""),"",Eva!AQ49-'Pre-Tx'!AQ49)</f>
        <v/>
      </c>
      <c r="AR49" s="80">
        <f>IF(OR(Eva!AR49="",'Pre-Tx'!AR49=""),"",Eva!AR49-'Pre-Tx'!AR49)</f>
        <v/>
      </c>
      <c r="AS49" s="79">
        <f>IF(OR(Eva!AS49="",'Pre-Tx'!AS49=""),"",Eva!AS49-'Pre-Tx'!AS49)</f>
        <v/>
      </c>
      <c r="AT49" s="80">
        <f>IF(OR(Eva!AT49="",'Pre-Tx'!AT49=""),"",Eva!AT49-'Pre-Tx'!AT49)</f>
        <v/>
      </c>
      <c r="AU49" s="80">
        <f>IF(OR(Eva!AU49="",'Pre-Tx'!AU49=""),"",Eva!AU49-'Pre-Tx'!AU49)</f>
        <v/>
      </c>
      <c r="AV49" s="79">
        <f>IF(OR(Eva!AV49="",'Pre-Tx'!AV49=""),"",Eva!AV49-'Pre-Tx'!AV49)</f>
        <v/>
      </c>
      <c r="AW49" s="80">
        <f>IF(OR(Eva!AW49="",'Pre-Tx'!AW49=""),"",Eva!AW49-'Pre-Tx'!AW49)</f>
        <v/>
      </c>
      <c r="AX49" s="80">
        <f>IF(OR(Eva!AX49="",'Pre-Tx'!AX49=""),"",Eva!AX49-'Pre-Tx'!AX49)</f>
        <v/>
      </c>
      <c r="AY49" s="27" t="inlineStr">
        <is>
          <t>KG</t>
        </is>
      </c>
    </row>
    <row r="50" ht="18" customHeight="1">
      <c r="A50" s="61" t="inlineStr">
        <is>
          <t>MANDIBLE</t>
        </is>
      </c>
      <c r="B50" s="62" t="n"/>
      <c r="C50" s="63" t="n">
        <v>48</v>
      </c>
      <c r="D50" s="64" t="n"/>
      <c r="E50" s="64" t="n"/>
      <c r="F50" s="63" t="n">
        <v>47</v>
      </c>
      <c r="G50" s="64" t="n"/>
      <c r="H50" s="64" t="n"/>
      <c r="I50" s="63" t="n">
        <v>46</v>
      </c>
      <c r="J50" s="64" t="n"/>
      <c r="K50" s="64" t="n"/>
      <c r="L50" s="63" t="n">
        <v>45</v>
      </c>
      <c r="M50" s="64" t="n"/>
      <c r="N50" s="64" t="n"/>
      <c r="O50" s="63" t="n">
        <v>44</v>
      </c>
      <c r="P50" s="64" t="n"/>
      <c r="Q50" s="64" t="n"/>
      <c r="R50" s="63" t="n">
        <v>43</v>
      </c>
      <c r="S50" s="64" t="n"/>
      <c r="T50" s="64" t="n"/>
      <c r="U50" s="63" t="n">
        <v>42</v>
      </c>
      <c r="V50" s="64" t="n"/>
      <c r="W50" s="64" t="n"/>
      <c r="X50" s="63" t="n">
        <v>41</v>
      </c>
      <c r="Y50" s="64" t="n"/>
      <c r="Z50" s="64" t="n"/>
      <c r="AA50" s="65" t="n">
        <v>31</v>
      </c>
      <c r="AB50" s="64" t="n"/>
      <c r="AC50" s="64" t="n"/>
      <c r="AD50" s="63" t="n">
        <v>32</v>
      </c>
      <c r="AE50" s="64" t="n"/>
      <c r="AF50" s="64" t="n"/>
      <c r="AG50" s="63" t="n">
        <v>33</v>
      </c>
      <c r="AH50" s="64" t="n"/>
      <c r="AI50" s="64" t="n"/>
      <c r="AJ50" s="63" t="n">
        <v>34</v>
      </c>
      <c r="AK50" s="64" t="n"/>
      <c r="AL50" s="64" t="n"/>
      <c r="AM50" s="63" t="n">
        <v>35</v>
      </c>
      <c r="AN50" s="64" t="n"/>
      <c r="AO50" s="64" t="n"/>
      <c r="AP50" s="63" t="n">
        <v>36</v>
      </c>
      <c r="AQ50" s="64" t="n"/>
      <c r="AR50" s="64" t="n"/>
      <c r="AS50" s="63" t="n">
        <v>37</v>
      </c>
      <c r="AT50" s="64" t="n"/>
      <c r="AU50" s="64" t="n"/>
      <c r="AV50" s="63" t="n">
        <v>38</v>
      </c>
      <c r="AW50" s="64" t="n"/>
      <c r="AX50" s="64" t="n"/>
      <c r="AY50" s="66" t="n"/>
    </row>
    <row r="52" ht="20" customHeight="1">
      <c r="C52" s="9" t="inlineStr">
        <is>
          <t>MISSING TEETH  ·  from the Eva sheet</t>
        </is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</row>
    <row r="53" ht="18" customHeight="1">
      <c r="A53" s="67" t="inlineStr">
        <is>
          <t>MAXILLA</t>
        </is>
      </c>
      <c r="B53" s="68" t="n"/>
      <c r="C53" s="69" t="n">
        <v>18</v>
      </c>
      <c r="D53" s="70" t="n"/>
      <c r="E53" s="70" t="n"/>
      <c r="F53" s="69" t="n">
        <v>17</v>
      </c>
      <c r="G53" s="70" t="n"/>
      <c r="H53" s="70" t="n"/>
      <c r="I53" s="69" t="n">
        <v>16</v>
      </c>
      <c r="J53" s="70" t="n"/>
      <c r="K53" s="70" t="n"/>
      <c r="L53" s="69" t="n">
        <v>15</v>
      </c>
      <c r="M53" s="70" t="n"/>
      <c r="N53" s="70" t="n"/>
      <c r="O53" s="69" t="n">
        <v>14</v>
      </c>
      <c r="P53" s="70" t="n"/>
      <c r="Q53" s="70" t="n"/>
      <c r="R53" s="69" t="n">
        <v>13</v>
      </c>
      <c r="S53" s="70" t="n"/>
      <c r="T53" s="70" t="n"/>
      <c r="U53" s="69" t="n">
        <v>12</v>
      </c>
      <c r="V53" s="70" t="n"/>
      <c r="W53" s="70" t="n"/>
      <c r="X53" s="69" t="n">
        <v>11</v>
      </c>
      <c r="Y53" s="70" t="n"/>
      <c r="Z53" s="70" t="n"/>
      <c r="AA53" s="69" t="n">
        <v>21</v>
      </c>
      <c r="AB53" s="70" t="n"/>
      <c r="AC53" s="70" t="n"/>
      <c r="AD53" s="69" t="n">
        <v>22</v>
      </c>
      <c r="AE53" s="70" t="n"/>
      <c r="AF53" s="70" t="n"/>
      <c r="AG53" s="69" t="n">
        <v>23</v>
      </c>
      <c r="AH53" s="70" t="n"/>
      <c r="AI53" s="70" t="n"/>
      <c r="AJ53" s="69" t="n">
        <v>24</v>
      </c>
      <c r="AK53" s="70" t="n"/>
      <c r="AL53" s="70" t="n"/>
      <c r="AM53" s="69" t="n">
        <v>25</v>
      </c>
      <c r="AN53" s="70" t="n"/>
      <c r="AO53" s="70" t="n"/>
      <c r="AP53" s="69" t="n">
        <v>26</v>
      </c>
      <c r="AQ53" s="70" t="n"/>
      <c r="AR53" s="70" t="n"/>
      <c r="AS53" s="69" t="n">
        <v>27</v>
      </c>
      <c r="AT53" s="70" t="n"/>
      <c r="AU53" s="70" t="n"/>
      <c r="AV53" s="69" t="n">
        <v>28</v>
      </c>
      <c r="AW53" s="70" t="n"/>
      <c r="AX53" s="71" t="n"/>
    </row>
    <row r="54" ht="21" customHeight="1">
      <c r="A54" s="72" t="inlineStr">
        <is>
          <t>X / I</t>
        </is>
      </c>
      <c r="B54" s="73" t="n"/>
      <c r="C54" s="74">
        <f>IF(Eva!C54="","",Eva!C54)</f>
        <v/>
      </c>
      <c r="D54" s="75" t="n"/>
      <c r="E54" s="75" t="n"/>
      <c r="F54" s="74">
        <f>IF(Eva!F54="","",Eva!F54)</f>
        <v/>
      </c>
      <c r="G54" s="75" t="n"/>
      <c r="H54" s="75" t="n"/>
      <c r="I54" s="74">
        <f>IF(Eva!I54="","",Eva!I54)</f>
        <v/>
      </c>
      <c r="J54" s="75" t="n"/>
      <c r="K54" s="75" t="n"/>
      <c r="L54" s="74">
        <f>IF(Eva!L54="","",Eva!L54)</f>
        <v/>
      </c>
      <c r="M54" s="75" t="n"/>
      <c r="N54" s="75" t="n"/>
      <c r="O54" s="74">
        <f>IF(Eva!O54="","",Eva!O54)</f>
        <v/>
      </c>
      <c r="P54" s="75" t="n"/>
      <c r="Q54" s="75" t="n"/>
      <c r="R54" s="74">
        <f>IF(Eva!R54="","",Eva!R54)</f>
        <v/>
      </c>
      <c r="S54" s="75" t="n"/>
      <c r="T54" s="75" t="n"/>
      <c r="U54" s="74">
        <f>IF(Eva!U54="","",Eva!U54)</f>
        <v/>
      </c>
      <c r="V54" s="75" t="n"/>
      <c r="W54" s="75" t="n"/>
      <c r="X54" s="74">
        <f>IF(Eva!X54="","",Eva!X54)</f>
        <v/>
      </c>
      <c r="Y54" s="75" t="n"/>
      <c r="Z54" s="75" t="n"/>
      <c r="AA54" s="74">
        <f>IF(Eva!AA54="","",Eva!AA54)</f>
        <v/>
      </c>
      <c r="AB54" s="75" t="n"/>
      <c r="AC54" s="75" t="n"/>
      <c r="AD54" s="74">
        <f>IF(Eva!AD54="","",Eva!AD54)</f>
        <v/>
      </c>
      <c r="AE54" s="75" t="n"/>
      <c r="AF54" s="75" t="n"/>
      <c r="AG54" s="74">
        <f>IF(Eva!AG54="","",Eva!AG54)</f>
        <v/>
      </c>
      <c r="AH54" s="75" t="n"/>
      <c r="AI54" s="75" t="n"/>
      <c r="AJ54" s="74">
        <f>IF(Eva!AJ54="","",Eva!AJ54)</f>
        <v/>
      </c>
      <c r="AK54" s="75" t="n"/>
      <c r="AL54" s="75" t="n"/>
      <c r="AM54" s="74">
        <f>IF(Eva!AM54="","",Eva!AM54)</f>
        <v/>
      </c>
      <c r="AN54" s="75" t="n"/>
      <c r="AO54" s="75" t="n"/>
      <c r="AP54" s="74">
        <f>IF(Eva!AP54="","",Eva!AP54)</f>
        <v/>
      </c>
      <c r="AQ54" s="75" t="n"/>
      <c r="AR54" s="75" t="n"/>
      <c r="AS54" s="74">
        <f>IF(Eva!AS54="","",Eva!AS54)</f>
        <v/>
      </c>
      <c r="AT54" s="75" t="n"/>
      <c r="AU54" s="75" t="n"/>
      <c r="AV54" s="74">
        <f>IF(Eva!AV54="","",Eva!AV54)</f>
        <v/>
      </c>
      <c r="AW54" s="75" t="n"/>
      <c r="AX54" s="76" t="n"/>
    </row>
    <row r="55" ht="18" customHeight="1">
      <c r="A55" s="67" t="inlineStr">
        <is>
          <t>MANDIBLE</t>
        </is>
      </c>
      <c r="B55" s="68" t="n"/>
      <c r="C55" s="69" t="n">
        <v>48</v>
      </c>
      <c r="D55" s="70" t="n"/>
      <c r="E55" s="70" t="n"/>
      <c r="F55" s="69" t="n">
        <v>47</v>
      </c>
      <c r="G55" s="70" t="n"/>
      <c r="H55" s="70" t="n"/>
      <c r="I55" s="69" t="n">
        <v>46</v>
      </c>
      <c r="J55" s="70" t="n"/>
      <c r="K55" s="70" t="n"/>
      <c r="L55" s="69" t="n">
        <v>45</v>
      </c>
      <c r="M55" s="70" t="n"/>
      <c r="N55" s="70" t="n"/>
      <c r="O55" s="69" t="n">
        <v>44</v>
      </c>
      <c r="P55" s="70" t="n"/>
      <c r="Q55" s="70" t="n"/>
      <c r="R55" s="69" t="n">
        <v>43</v>
      </c>
      <c r="S55" s="70" t="n"/>
      <c r="T55" s="70" t="n"/>
      <c r="U55" s="69" t="n">
        <v>42</v>
      </c>
      <c r="V55" s="70" t="n"/>
      <c r="W55" s="70" t="n"/>
      <c r="X55" s="69" t="n">
        <v>41</v>
      </c>
      <c r="Y55" s="70" t="n"/>
      <c r="Z55" s="70" t="n"/>
      <c r="AA55" s="69" t="n">
        <v>31</v>
      </c>
      <c r="AB55" s="70" t="n"/>
      <c r="AC55" s="70" t="n"/>
      <c r="AD55" s="69" t="n">
        <v>32</v>
      </c>
      <c r="AE55" s="70" t="n"/>
      <c r="AF55" s="70" t="n"/>
      <c r="AG55" s="69" t="n">
        <v>33</v>
      </c>
      <c r="AH55" s="70" t="n"/>
      <c r="AI55" s="70" t="n"/>
      <c r="AJ55" s="69" t="n">
        <v>34</v>
      </c>
      <c r="AK55" s="70" t="n"/>
      <c r="AL55" s="70" t="n"/>
      <c r="AM55" s="69" t="n">
        <v>35</v>
      </c>
      <c r="AN55" s="70" t="n"/>
      <c r="AO55" s="70" t="n"/>
      <c r="AP55" s="69" t="n">
        <v>36</v>
      </c>
      <c r="AQ55" s="70" t="n"/>
      <c r="AR55" s="70" t="n"/>
      <c r="AS55" s="69" t="n">
        <v>37</v>
      </c>
      <c r="AT55" s="70" t="n"/>
      <c r="AU55" s="70" t="n"/>
      <c r="AV55" s="69" t="n">
        <v>38</v>
      </c>
      <c r="AW55" s="70" t="n"/>
      <c r="AX55" s="71" t="n"/>
    </row>
    <row r="56" ht="21" customHeight="1">
      <c r="A56" s="72" t="inlineStr">
        <is>
          <t>X / I</t>
        </is>
      </c>
      <c r="B56" s="73" t="n"/>
      <c r="C56" s="74">
        <f>IF(Eva!C56="","",Eva!C56)</f>
        <v/>
      </c>
      <c r="D56" s="75" t="n"/>
      <c r="E56" s="75" t="n"/>
      <c r="F56" s="74">
        <f>IF(Eva!F56="","",Eva!F56)</f>
        <v/>
      </c>
      <c r="G56" s="75" t="n"/>
      <c r="H56" s="75" t="n"/>
      <c r="I56" s="74">
        <f>IF(Eva!I56="","",Eva!I56)</f>
        <v/>
      </c>
      <c r="J56" s="75" t="n"/>
      <c r="K56" s="75" t="n"/>
      <c r="L56" s="74">
        <f>IF(Eva!L56="","",Eva!L56)</f>
        <v/>
      </c>
      <c r="M56" s="75" t="n"/>
      <c r="N56" s="75" t="n"/>
      <c r="O56" s="74">
        <f>IF(Eva!O56="","",Eva!O56)</f>
        <v/>
      </c>
      <c r="P56" s="75" t="n"/>
      <c r="Q56" s="75" t="n"/>
      <c r="R56" s="74">
        <f>IF(Eva!R56="","",Eva!R56)</f>
        <v/>
      </c>
      <c r="S56" s="75" t="n"/>
      <c r="T56" s="75" t="n"/>
      <c r="U56" s="74">
        <f>IF(Eva!U56="","",Eva!U56)</f>
        <v/>
      </c>
      <c r="V56" s="75" t="n"/>
      <c r="W56" s="75" t="n"/>
      <c r="X56" s="74">
        <f>IF(Eva!X56="","",Eva!X56)</f>
        <v/>
      </c>
      <c r="Y56" s="75" t="n"/>
      <c r="Z56" s="75" t="n"/>
      <c r="AA56" s="74">
        <f>IF(Eva!AA56="","",Eva!AA56)</f>
        <v/>
      </c>
      <c r="AB56" s="75" t="n"/>
      <c r="AC56" s="75" t="n"/>
      <c r="AD56" s="74">
        <f>IF(Eva!AD56="","",Eva!AD56)</f>
        <v/>
      </c>
      <c r="AE56" s="75" t="n"/>
      <c r="AF56" s="75" t="n"/>
      <c r="AG56" s="74">
        <f>IF(Eva!AG56="","",Eva!AG56)</f>
        <v/>
      </c>
      <c r="AH56" s="75" t="n"/>
      <c r="AI56" s="75" t="n"/>
      <c r="AJ56" s="74">
        <f>IF(Eva!AJ56="","",Eva!AJ56)</f>
        <v/>
      </c>
      <c r="AK56" s="75" t="n"/>
      <c r="AL56" s="75" t="n"/>
      <c r="AM56" s="74">
        <f>IF(Eva!AM56="","",Eva!AM56)</f>
        <v/>
      </c>
      <c r="AN56" s="75" t="n"/>
      <c r="AO56" s="75" t="n"/>
      <c r="AP56" s="74">
        <f>IF(Eva!AP56="","",Eva!AP56)</f>
        <v/>
      </c>
      <c r="AQ56" s="75" t="n"/>
      <c r="AR56" s="75" t="n"/>
      <c r="AS56" s="74">
        <f>IF(Eva!AS56="","",Eva!AS56)</f>
        <v/>
      </c>
      <c r="AT56" s="75" t="n"/>
      <c r="AU56" s="75" t="n"/>
      <c r="AV56" s="74">
        <f>IF(Eva!AV56="","",Eva!AV56)</f>
        <v/>
      </c>
      <c r="AW56" s="75" t="n"/>
      <c r="AX56" s="76" t="n"/>
    </row>
  </sheetData>
  <mergeCells count="152">
    <mergeCell ref="I54:K54"/>
    <mergeCell ref="AD28:AF28"/>
    <mergeCell ref="C31:E31"/>
    <mergeCell ref="AP50:AR50"/>
    <mergeCell ref="O31:Q31"/>
    <mergeCell ref="I56:K56"/>
    <mergeCell ref="A32:A36"/>
    <mergeCell ref="A54:B54"/>
    <mergeCell ref="AV28:AX28"/>
    <mergeCell ref="F31:H31"/>
    <mergeCell ref="O56:Q56"/>
    <mergeCell ref="L9:N9"/>
    <mergeCell ref="AV9:AX9"/>
    <mergeCell ref="F9:H9"/>
    <mergeCell ref="AD53:AF53"/>
    <mergeCell ref="A56:B56"/>
    <mergeCell ref="I50:K50"/>
    <mergeCell ref="AD55:AF55"/>
    <mergeCell ref="X31:Z31"/>
    <mergeCell ref="U50:W50"/>
    <mergeCell ref="AD9:AF9"/>
    <mergeCell ref="AJ31:AL31"/>
    <mergeCell ref="A53:B53"/>
    <mergeCell ref="AS50:AU50"/>
    <mergeCell ref="O9:Q9"/>
    <mergeCell ref="A28:B28"/>
    <mergeCell ref="AG9:AI9"/>
    <mergeCell ref="C3:AX3"/>
    <mergeCell ref="A10:A15"/>
    <mergeCell ref="A9:B9"/>
    <mergeCell ref="AS9:AU9"/>
    <mergeCell ref="I28:K28"/>
    <mergeCell ref="AM9:AO9"/>
    <mergeCell ref="F50:H50"/>
    <mergeCell ref="AG53:AI53"/>
    <mergeCell ref="O50:Q50"/>
    <mergeCell ref="AS2:AX2"/>
    <mergeCell ref="L50:N50"/>
    <mergeCell ref="AS28:AU28"/>
    <mergeCell ref="AA31:AC31"/>
    <mergeCell ref="AM31:AO31"/>
    <mergeCell ref="X50:Z50"/>
    <mergeCell ref="R53:T53"/>
    <mergeCell ref="U54:W54"/>
    <mergeCell ref="U55:W55"/>
    <mergeCell ref="AM55:AO55"/>
    <mergeCell ref="AD50:AF50"/>
    <mergeCell ref="AS53:AU53"/>
    <mergeCell ref="X9:Z9"/>
    <mergeCell ref="R9:T9"/>
    <mergeCell ref="AP53:AR53"/>
    <mergeCell ref="AJ9:AL9"/>
    <mergeCell ref="AP28:AR28"/>
    <mergeCell ref="AS55:AU55"/>
    <mergeCell ref="AJ50:AL50"/>
    <mergeCell ref="AG54:AI54"/>
    <mergeCell ref="AV50:AX50"/>
    <mergeCell ref="AS54:AU54"/>
    <mergeCell ref="L28:N28"/>
    <mergeCell ref="AG50:AI50"/>
    <mergeCell ref="AP9:AR9"/>
    <mergeCell ref="AG56:AI56"/>
    <mergeCell ref="R31:T31"/>
    <mergeCell ref="AP54:AR54"/>
    <mergeCell ref="AV55:AX55"/>
    <mergeCell ref="F55:H55"/>
    <mergeCell ref="AP55:AR55"/>
    <mergeCell ref="AS56:AU56"/>
    <mergeCell ref="C50:E50"/>
    <mergeCell ref="AE2:AG2"/>
    <mergeCell ref="C55:E55"/>
    <mergeCell ref="X53:Z53"/>
    <mergeCell ref="I53:K53"/>
    <mergeCell ref="C1:Z1"/>
    <mergeCell ref="C9:E9"/>
    <mergeCell ref="AA53:AC53"/>
    <mergeCell ref="AH2:AN2"/>
    <mergeCell ref="AP31:AR31"/>
    <mergeCell ref="L55:N55"/>
    <mergeCell ref="U53:W53"/>
    <mergeCell ref="X55:Z55"/>
    <mergeCell ref="C2:E2"/>
    <mergeCell ref="R54:T54"/>
    <mergeCell ref="I55:K55"/>
    <mergeCell ref="U28:W28"/>
    <mergeCell ref="L54:N54"/>
    <mergeCell ref="AV53:AX53"/>
    <mergeCell ref="AD54:AF54"/>
    <mergeCell ref="R50:T50"/>
    <mergeCell ref="AG28:AI28"/>
    <mergeCell ref="AO2:AR2"/>
    <mergeCell ref="R56:T56"/>
    <mergeCell ref="AA50:AC50"/>
    <mergeCell ref="L56:N56"/>
    <mergeCell ref="A55:B55"/>
    <mergeCell ref="AA55:AC55"/>
    <mergeCell ref="AM50:AO50"/>
    <mergeCell ref="AJ54:AL54"/>
    <mergeCell ref="C28:E28"/>
    <mergeCell ref="C52:AX52"/>
    <mergeCell ref="AV54:AX54"/>
    <mergeCell ref="I31:K31"/>
    <mergeCell ref="F53:H53"/>
    <mergeCell ref="AG55:AI55"/>
    <mergeCell ref="AJ56:AL56"/>
    <mergeCell ref="U31:W31"/>
    <mergeCell ref="O53:Q53"/>
    <mergeCell ref="R28:T28"/>
    <mergeCell ref="L53:N53"/>
    <mergeCell ref="AS31:AU31"/>
    <mergeCell ref="AM56:AO56"/>
    <mergeCell ref="A44:A49"/>
    <mergeCell ref="C54:E54"/>
    <mergeCell ref="X28:Z28"/>
    <mergeCell ref="O54:Q54"/>
    <mergeCell ref="AJ28:AL28"/>
    <mergeCell ref="AD31:AF31"/>
    <mergeCell ref="C56:E56"/>
    <mergeCell ref="R55:T55"/>
    <mergeCell ref="U56:W56"/>
    <mergeCell ref="A23:A27"/>
    <mergeCell ref="F2:T2"/>
    <mergeCell ref="AA54:AC54"/>
    <mergeCell ref="O55:Q55"/>
    <mergeCell ref="AJ53:AL53"/>
    <mergeCell ref="U2:V2"/>
    <mergeCell ref="AM54:AO54"/>
    <mergeCell ref="F28:H28"/>
    <mergeCell ref="AA56:AC56"/>
    <mergeCell ref="L31:N31"/>
    <mergeCell ref="F56:H56"/>
    <mergeCell ref="AJ55:AL55"/>
    <mergeCell ref="A50:B50"/>
    <mergeCell ref="X54:Z54"/>
    <mergeCell ref="C53:E53"/>
    <mergeCell ref="I9:K9"/>
    <mergeCell ref="AD56:AF56"/>
    <mergeCell ref="X56:Z56"/>
    <mergeCell ref="U9:W9"/>
    <mergeCell ref="AV31:AX31"/>
    <mergeCell ref="AP56:AR56"/>
    <mergeCell ref="AM53:AO53"/>
    <mergeCell ref="O28:Q28"/>
    <mergeCell ref="F54:H54"/>
    <mergeCell ref="AA28:AC28"/>
    <mergeCell ref="W2:AD2"/>
    <mergeCell ref="AA1:AX1"/>
    <mergeCell ref="AA9:AC9"/>
    <mergeCell ref="AV56:AX56"/>
    <mergeCell ref="AM28:AO28"/>
    <mergeCell ref="AG31:AI31"/>
    <mergeCell ref="A31:B31"/>
  </mergeCells>
  <conditionalFormatting sqref="C10:E27">
    <cfRule type="expression" priority="1" dxfId="0" stopIfTrue="1">
      <formula>$C$54="X"</formula>
    </cfRule>
  </conditionalFormatting>
  <conditionalFormatting sqref="C9:E9 C28:E28">
    <cfRule type="expression" priority="2" dxfId="1" stopIfTrue="1">
      <formula>$C$54="X"</formula>
    </cfRule>
    <cfRule type="expression" priority="3" dxfId="2" stopIfTrue="1">
      <formula>$C$54="I"</formula>
    </cfRule>
  </conditionalFormatting>
  <conditionalFormatting sqref="F10:H27">
    <cfRule type="expression" priority="4" dxfId="0" stopIfTrue="1">
      <formula>$F$54="X"</formula>
    </cfRule>
  </conditionalFormatting>
  <conditionalFormatting sqref="F9:H9 F28:H28">
    <cfRule type="expression" priority="5" dxfId="1" stopIfTrue="1">
      <formula>$F$54="X"</formula>
    </cfRule>
    <cfRule type="expression" priority="6" dxfId="2" stopIfTrue="1">
      <formula>$F$54="I"</formula>
    </cfRule>
  </conditionalFormatting>
  <conditionalFormatting sqref="I10:K27">
    <cfRule type="expression" priority="7" dxfId="0" stopIfTrue="1">
      <formula>$I$54="X"</formula>
    </cfRule>
  </conditionalFormatting>
  <conditionalFormatting sqref="I9:K9 I28:K28">
    <cfRule type="expression" priority="8" dxfId="1" stopIfTrue="1">
      <formula>$I$54="X"</formula>
    </cfRule>
    <cfRule type="expression" priority="9" dxfId="2" stopIfTrue="1">
      <formula>$I$54="I"</formula>
    </cfRule>
  </conditionalFormatting>
  <conditionalFormatting sqref="L10:N27">
    <cfRule type="expression" priority="10" dxfId="0" stopIfTrue="1">
      <formula>$L$54="X"</formula>
    </cfRule>
  </conditionalFormatting>
  <conditionalFormatting sqref="L9:N9 L28:N28">
    <cfRule type="expression" priority="11" dxfId="1" stopIfTrue="1">
      <formula>$L$54="X"</formula>
    </cfRule>
    <cfRule type="expression" priority="12" dxfId="2" stopIfTrue="1">
      <formula>$L$54="I"</formula>
    </cfRule>
  </conditionalFormatting>
  <conditionalFormatting sqref="O10:Q27">
    <cfRule type="expression" priority="13" dxfId="0" stopIfTrue="1">
      <formula>$O$54="X"</formula>
    </cfRule>
  </conditionalFormatting>
  <conditionalFormatting sqref="O9:Q9 O28:Q28">
    <cfRule type="expression" priority="14" dxfId="1" stopIfTrue="1">
      <formula>$O$54="X"</formula>
    </cfRule>
    <cfRule type="expression" priority="15" dxfId="2" stopIfTrue="1">
      <formula>$O$54="I"</formula>
    </cfRule>
  </conditionalFormatting>
  <conditionalFormatting sqref="R10:T27">
    <cfRule type="expression" priority="16" dxfId="0" stopIfTrue="1">
      <formula>$R$54="X"</formula>
    </cfRule>
  </conditionalFormatting>
  <conditionalFormatting sqref="R9:T9 R28:T28">
    <cfRule type="expression" priority="17" dxfId="1" stopIfTrue="1">
      <formula>$R$54="X"</formula>
    </cfRule>
    <cfRule type="expression" priority="18" dxfId="2" stopIfTrue="1">
      <formula>$R$54="I"</formula>
    </cfRule>
  </conditionalFormatting>
  <conditionalFormatting sqref="U10:W27">
    <cfRule type="expression" priority="19" dxfId="0" stopIfTrue="1">
      <formula>$U$54="X"</formula>
    </cfRule>
  </conditionalFormatting>
  <conditionalFormatting sqref="U9:W9 U28:W28">
    <cfRule type="expression" priority="20" dxfId="1" stopIfTrue="1">
      <formula>$U$54="X"</formula>
    </cfRule>
    <cfRule type="expression" priority="21" dxfId="2" stopIfTrue="1">
      <formula>$U$54="I"</formula>
    </cfRule>
  </conditionalFormatting>
  <conditionalFormatting sqref="X10:Z27">
    <cfRule type="expression" priority="22" dxfId="0" stopIfTrue="1">
      <formula>$X$54="X"</formula>
    </cfRule>
  </conditionalFormatting>
  <conditionalFormatting sqref="X9:Z9 X28:Z28">
    <cfRule type="expression" priority="23" dxfId="1" stopIfTrue="1">
      <formula>$X$54="X"</formula>
    </cfRule>
    <cfRule type="expression" priority="24" dxfId="2" stopIfTrue="1">
      <formula>$X$54="I"</formula>
    </cfRule>
  </conditionalFormatting>
  <conditionalFormatting sqref="AA10:AC27">
    <cfRule type="expression" priority="25" dxfId="0" stopIfTrue="1">
      <formula>$AA$54="X"</formula>
    </cfRule>
  </conditionalFormatting>
  <conditionalFormatting sqref="AA9:AC9 AA28:AC28">
    <cfRule type="expression" priority="26" dxfId="1" stopIfTrue="1">
      <formula>$AA$54="X"</formula>
    </cfRule>
    <cfRule type="expression" priority="27" dxfId="2" stopIfTrue="1">
      <formula>$AA$54="I"</formula>
    </cfRule>
  </conditionalFormatting>
  <conditionalFormatting sqref="AD10:AF27">
    <cfRule type="expression" priority="28" dxfId="0" stopIfTrue="1">
      <formula>$AD$54="X"</formula>
    </cfRule>
  </conditionalFormatting>
  <conditionalFormatting sqref="AD9:AF9 AD28:AF28">
    <cfRule type="expression" priority="29" dxfId="1" stopIfTrue="1">
      <formula>$AD$54="X"</formula>
    </cfRule>
    <cfRule type="expression" priority="30" dxfId="2" stopIfTrue="1">
      <formula>$AD$54="I"</formula>
    </cfRule>
  </conditionalFormatting>
  <conditionalFormatting sqref="AG10:AI27">
    <cfRule type="expression" priority="31" dxfId="0" stopIfTrue="1">
      <formula>$AG$54="X"</formula>
    </cfRule>
  </conditionalFormatting>
  <conditionalFormatting sqref="AG9:AI9 AG28:AI28">
    <cfRule type="expression" priority="32" dxfId="1" stopIfTrue="1">
      <formula>$AG$54="X"</formula>
    </cfRule>
    <cfRule type="expression" priority="33" dxfId="2" stopIfTrue="1">
      <formula>$AG$54="I"</formula>
    </cfRule>
  </conditionalFormatting>
  <conditionalFormatting sqref="AJ10:AL27">
    <cfRule type="expression" priority="34" dxfId="0" stopIfTrue="1">
      <formula>$AJ$54="X"</formula>
    </cfRule>
  </conditionalFormatting>
  <conditionalFormatting sqref="AJ9:AL9 AJ28:AL28">
    <cfRule type="expression" priority="35" dxfId="1" stopIfTrue="1">
      <formula>$AJ$54="X"</formula>
    </cfRule>
    <cfRule type="expression" priority="36" dxfId="2" stopIfTrue="1">
      <formula>$AJ$54="I"</formula>
    </cfRule>
  </conditionalFormatting>
  <conditionalFormatting sqref="AM10:AO27">
    <cfRule type="expression" priority="37" dxfId="0" stopIfTrue="1">
      <formula>$AM$54="X"</formula>
    </cfRule>
  </conditionalFormatting>
  <conditionalFormatting sqref="AM9:AO9 AM28:AO28">
    <cfRule type="expression" priority="38" dxfId="1" stopIfTrue="1">
      <formula>$AM$54="X"</formula>
    </cfRule>
    <cfRule type="expression" priority="39" dxfId="2" stopIfTrue="1">
      <formula>$AM$54="I"</formula>
    </cfRule>
  </conditionalFormatting>
  <conditionalFormatting sqref="AP10:AR27">
    <cfRule type="expression" priority="40" dxfId="0" stopIfTrue="1">
      <formula>$AP$54="X"</formula>
    </cfRule>
  </conditionalFormatting>
  <conditionalFormatting sqref="AP9:AR9 AP28:AR28">
    <cfRule type="expression" priority="41" dxfId="1" stopIfTrue="1">
      <formula>$AP$54="X"</formula>
    </cfRule>
    <cfRule type="expression" priority="42" dxfId="2" stopIfTrue="1">
      <formula>$AP$54="I"</formula>
    </cfRule>
  </conditionalFormatting>
  <conditionalFormatting sqref="AS10:AU27">
    <cfRule type="expression" priority="43" dxfId="0" stopIfTrue="1">
      <formula>$AS$54="X"</formula>
    </cfRule>
  </conditionalFormatting>
  <conditionalFormatting sqref="AS9:AU9 AS28:AU28">
    <cfRule type="expression" priority="44" dxfId="1" stopIfTrue="1">
      <formula>$AS$54="X"</formula>
    </cfRule>
    <cfRule type="expression" priority="45" dxfId="2" stopIfTrue="1">
      <formula>$AS$54="I"</formula>
    </cfRule>
  </conditionalFormatting>
  <conditionalFormatting sqref="AV10:AX27">
    <cfRule type="expression" priority="46" dxfId="0" stopIfTrue="1">
      <formula>$AV$54="X"</formula>
    </cfRule>
  </conditionalFormatting>
  <conditionalFormatting sqref="AV9:AX9 AV28:AX28">
    <cfRule type="expression" priority="47" dxfId="1" stopIfTrue="1">
      <formula>$AV$54="X"</formula>
    </cfRule>
    <cfRule type="expression" priority="48" dxfId="2" stopIfTrue="1">
      <formula>$AV$54="I"</formula>
    </cfRule>
  </conditionalFormatting>
  <conditionalFormatting sqref="C32:E49">
    <cfRule type="expression" priority="49" dxfId="0" stopIfTrue="1">
      <formula>$C$56="X"</formula>
    </cfRule>
  </conditionalFormatting>
  <conditionalFormatting sqref="C31:E31 C50:E50">
    <cfRule type="expression" priority="50" dxfId="1" stopIfTrue="1">
      <formula>$C$56="X"</formula>
    </cfRule>
    <cfRule type="expression" priority="51" dxfId="2" stopIfTrue="1">
      <formula>$C$56="I"</formula>
    </cfRule>
  </conditionalFormatting>
  <conditionalFormatting sqref="F32:H49">
    <cfRule type="expression" priority="52" dxfId="0" stopIfTrue="1">
      <formula>$F$56="X"</formula>
    </cfRule>
  </conditionalFormatting>
  <conditionalFormatting sqref="F31:H31 F50:H50">
    <cfRule type="expression" priority="53" dxfId="1" stopIfTrue="1">
      <formula>$F$56="X"</formula>
    </cfRule>
    <cfRule type="expression" priority="54" dxfId="2" stopIfTrue="1">
      <formula>$F$56="I"</formula>
    </cfRule>
  </conditionalFormatting>
  <conditionalFormatting sqref="I32:K49">
    <cfRule type="expression" priority="55" dxfId="0" stopIfTrue="1">
      <formula>$I$56="X"</formula>
    </cfRule>
  </conditionalFormatting>
  <conditionalFormatting sqref="I31:K31 I50:K50">
    <cfRule type="expression" priority="56" dxfId="1" stopIfTrue="1">
      <formula>$I$56="X"</formula>
    </cfRule>
    <cfRule type="expression" priority="57" dxfId="2" stopIfTrue="1">
      <formula>$I$56="I"</formula>
    </cfRule>
  </conditionalFormatting>
  <conditionalFormatting sqref="L32:N49">
    <cfRule type="expression" priority="58" dxfId="0" stopIfTrue="1">
      <formula>$L$56="X"</formula>
    </cfRule>
  </conditionalFormatting>
  <conditionalFormatting sqref="L31:N31 L50:N50">
    <cfRule type="expression" priority="59" dxfId="1" stopIfTrue="1">
      <formula>$L$56="X"</formula>
    </cfRule>
    <cfRule type="expression" priority="60" dxfId="2" stopIfTrue="1">
      <formula>$L$56="I"</formula>
    </cfRule>
  </conditionalFormatting>
  <conditionalFormatting sqref="O32:Q49">
    <cfRule type="expression" priority="61" dxfId="0" stopIfTrue="1">
      <formula>$O$56="X"</formula>
    </cfRule>
  </conditionalFormatting>
  <conditionalFormatting sqref="O31:Q31 O50:Q50">
    <cfRule type="expression" priority="62" dxfId="1" stopIfTrue="1">
      <formula>$O$56="X"</formula>
    </cfRule>
    <cfRule type="expression" priority="63" dxfId="2" stopIfTrue="1">
      <formula>$O$56="I"</formula>
    </cfRule>
  </conditionalFormatting>
  <conditionalFormatting sqref="R32:T49">
    <cfRule type="expression" priority="64" dxfId="0" stopIfTrue="1">
      <formula>$R$56="X"</formula>
    </cfRule>
  </conditionalFormatting>
  <conditionalFormatting sqref="R31:T31 R50:T50">
    <cfRule type="expression" priority="65" dxfId="1" stopIfTrue="1">
      <formula>$R$56="X"</formula>
    </cfRule>
    <cfRule type="expression" priority="66" dxfId="2" stopIfTrue="1">
      <formula>$R$56="I"</formula>
    </cfRule>
  </conditionalFormatting>
  <conditionalFormatting sqref="U32:W49">
    <cfRule type="expression" priority="67" dxfId="0" stopIfTrue="1">
      <formula>$U$56="X"</formula>
    </cfRule>
  </conditionalFormatting>
  <conditionalFormatting sqref="U31:W31 U50:W50">
    <cfRule type="expression" priority="68" dxfId="1" stopIfTrue="1">
      <formula>$U$56="X"</formula>
    </cfRule>
    <cfRule type="expression" priority="69" dxfId="2" stopIfTrue="1">
      <formula>$U$56="I"</formula>
    </cfRule>
  </conditionalFormatting>
  <conditionalFormatting sqref="X32:Z49">
    <cfRule type="expression" priority="70" dxfId="0" stopIfTrue="1">
      <formula>$X$56="X"</formula>
    </cfRule>
  </conditionalFormatting>
  <conditionalFormatting sqref="X31:Z31 X50:Z50">
    <cfRule type="expression" priority="71" dxfId="1" stopIfTrue="1">
      <formula>$X$56="X"</formula>
    </cfRule>
    <cfRule type="expression" priority="72" dxfId="2" stopIfTrue="1">
      <formula>$X$56="I"</formula>
    </cfRule>
  </conditionalFormatting>
  <conditionalFormatting sqref="AA32:AC49">
    <cfRule type="expression" priority="73" dxfId="0" stopIfTrue="1">
      <formula>$AA$56="X"</formula>
    </cfRule>
  </conditionalFormatting>
  <conditionalFormatting sqref="AA31:AC31 AA50:AC50">
    <cfRule type="expression" priority="74" dxfId="1" stopIfTrue="1">
      <formula>$AA$56="X"</formula>
    </cfRule>
    <cfRule type="expression" priority="75" dxfId="2" stopIfTrue="1">
      <formula>$AA$56="I"</formula>
    </cfRule>
  </conditionalFormatting>
  <conditionalFormatting sqref="AD32:AF49">
    <cfRule type="expression" priority="76" dxfId="0" stopIfTrue="1">
      <formula>$AD$56="X"</formula>
    </cfRule>
  </conditionalFormatting>
  <conditionalFormatting sqref="AD31:AF31 AD50:AF50">
    <cfRule type="expression" priority="77" dxfId="1" stopIfTrue="1">
      <formula>$AD$56="X"</formula>
    </cfRule>
    <cfRule type="expression" priority="78" dxfId="2" stopIfTrue="1">
      <formula>$AD$56="I"</formula>
    </cfRule>
  </conditionalFormatting>
  <conditionalFormatting sqref="AG32:AI49">
    <cfRule type="expression" priority="79" dxfId="0" stopIfTrue="1">
      <formula>$AG$56="X"</formula>
    </cfRule>
  </conditionalFormatting>
  <conditionalFormatting sqref="AG31:AI31 AG50:AI50">
    <cfRule type="expression" priority="80" dxfId="1" stopIfTrue="1">
      <formula>$AG$56="X"</formula>
    </cfRule>
    <cfRule type="expression" priority="81" dxfId="2" stopIfTrue="1">
      <formula>$AG$56="I"</formula>
    </cfRule>
  </conditionalFormatting>
  <conditionalFormatting sqref="AJ32:AL49">
    <cfRule type="expression" priority="82" dxfId="0" stopIfTrue="1">
      <formula>$AJ$56="X"</formula>
    </cfRule>
  </conditionalFormatting>
  <conditionalFormatting sqref="AJ31:AL31 AJ50:AL50">
    <cfRule type="expression" priority="83" dxfId="1" stopIfTrue="1">
      <formula>$AJ$56="X"</formula>
    </cfRule>
    <cfRule type="expression" priority="84" dxfId="2" stopIfTrue="1">
      <formula>$AJ$56="I"</formula>
    </cfRule>
  </conditionalFormatting>
  <conditionalFormatting sqref="AM32:AO49">
    <cfRule type="expression" priority="85" dxfId="0" stopIfTrue="1">
      <formula>$AM$56="X"</formula>
    </cfRule>
  </conditionalFormatting>
  <conditionalFormatting sqref="AM31:AO31 AM50:AO50">
    <cfRule type="expression" priority="86" dxfId="1" stopIfTrue="1">
      <formula>$AM$56="X"</formula>
    </cfRule>
    <cfRule type="expression" priority="87" dxfId="2" stopIfTrue="1">
      <formula>$AM$56="I"</formula>
    </cfRule>
  </conditionalFormatting>
  <conditionalFormatting sqref="AP32:AR49">
    <cfRule type="expression" priority="88" dxfId="0" stopIfTrue="1">
      <formula>$AP$56="X"</formula>
    </cfRule>
  </conditionalFormatting>
  <conditionalFormatting sqref="AP31:AR31 AP50:AR50">
    <cfRule type="expression" priority="89" dxfId="1" stopIfTrue="1">
      <formula>$AP$56="X"</formula>
    </cfRule>
    <cfRule type="expression" priority="90" dxfId="2" stopIfTrue="1">
      <formula>$AP$56="I"</formula>
    </cfRule>
  </conditionalFormatting>
  <conditionalFormatting sqref="AS32:AU49">
    <cfRule type="expression" priority="91" dxfId="0" stopIfTrue="1">
      <formula>$AS$56="X"</formula>
    </cfRule>
  </conditionalFormatting>
  <conditionalFormatting sqref="AS31:AU31 AS50:AU50">
    <cfRule type="expression" priority="92" dxfId="1" stopIfTrue="1">
      <formula>$AS$56="X"</formula>
    </cfRule>
    <cfRule type="expression" priority="93" dxfId="2" stopIfTrue="1">
      <formula>$AS$56="I"</formula>
    </cfRule>
  </conditionalFormatting>
  <conditionalFormatting sqref="AV32:AX49">
    <cfRule type="expression" priority="94" dxfId="0" stopIfTrue="1">
      <formula>$AV$56="X"</formula>
    </cfRule>
  </conditionalFormatting>
  <conditionalFormatting sqref="AV31:AX31 AV50:AX50">
    <cfRule type="expression" priority="95" dxfId="1" stopIfTrue="1">
      <formula>$AV$56="X"</formula>
    </cfRule>
    <cfRule type="expression" priority="96" dxfId="2" stopIfTrue="1">
      <formula>$AV$56="I"</formula>
    </cfRule>
  </conditionalFormatting>
  <conditionalFormatting sqref="C14:AX14 C24:AX24 C35:AX35 C45:AX45">
    <cfRule type="cellIs" priority="97" operator="lessThan" dxfId="5">
      <formula>0</formula>
    </cfRule>
    <cfRule type="cellIs" priority="98" operator="greaterThan" dxfId="6">
      <formula>0</formula>
    </cfRule>
  </conditionalFormatting>
  <conditionalFormatting sqref="C15:AX15 C23:AX23 C36:AX36 C44:AX44">
    <cfRule type="cellIs" priority="99" operator="lessThan" dxfId="5">
      <formula>0</formula>
    </cfRule>
    <cfRule type="cellIs" priority="100" operator="greaterThan" dxfId="6">
      <formula>0</formula>
    </cfRule>
  </conditionalFormatting>
  <printOptions horizontalCentered="1"/>
  <pageMargins left="0.35" right="0.35" top="0.4" bottom="0.4" header="0.2" footer="0.2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2026-10-30T09:21:48Z</dcterms:created>
  <dcterms:modified xmlns:dcterms="http://purl.org/dc/terms/" xmlns:xsi="http://www.w3.org/2001/XMLSchema-instance" xsi:type="dcterms:W3CDTF">2026-10-30T09:21:59Z</dcterms:modified>
</cp:coreProperties>
</file>